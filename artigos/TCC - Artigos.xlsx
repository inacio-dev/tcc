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acterísticas Científicas e A" sheetId="1" r:id="rId4"/>
    <sheet state="visible" name="Recursos e Aplicações Práticas" sheetId="2" r:id="rId5"/>
  </sheets>
  <definedNames>
    <definedName hidden="1" localSheetId="0" name="_xlnm._FilterDatabase">'Características Científicas e A'!$A$1:$J$55</definedName>
  </definedNames>
  <calcPr/>
</workbook>
</file>

<file path=xl/sharedStrings.xml><?xml version="1.0" encoding="utf-8"?>
<sst xmlns="http://schemas.openxmlformats.org/spreadsheetml/2006/main" count="748" uniqueCount="685">
  <si>
    <t>Nº</t>
  </si>
  <si>
    <t>Autores (Ano)</t>
  </si>
  <si>
    <t>Título</t>
  </si>
  <si>
    <t>Objetivo do Estudo</t>
  </si>
  <si>
    <t>Metodologia / Arquitetura</t>
  </si>
  <si>
    <t>Análise Estatística</t>
  </si>
  <si>
    <t>Principais Resultados</t>
  </si>
  <si>
    <t>Contribuições</t>
  </si>
  <si>
    <t>Limitações / Desvantagens</t>
  </si>
  <si>
    <t>Tópico</t>
  </si>
  <si>
    <t>Rodríguez-Arellano et al. (2025)</t>
  </si>
  <si>
    <t>Experimental observer-based delayed control of wheeled mobile robots</t>
  </si>
  <si>
    <t>Desenvolver uma metodologia de controle baseada em observador para robôs móveis com rodas (WMRs) que integre um observador de perturbação e um controlador retardado proporcional</t>
  </si>
  <si>
    <t>Projeto de observador de distúrbio que transforma o sistema original em um sistema com perturbações decrescentes; Controlador proporcional retardado usando a abordagem do espectro de abscissa</t>
  </si>
  <si>
    <t>Avaliação experimental com comparação qualitativa e quantitativa (índices IAE, ITSE, ITAE, RMS e ISV)</t>
  </si>
  <si>
    <t>O controlador OPR proposto superou outras metodologias robustas em termos de tempo de movimento, precisão e suavidade</t>
  </si>
  <si>
    <t>Desenvolvimento de um controlador OPR para tarefas de rastreamento de trajetória; Análise teórica provando a eficácia do esquema; Validação experimental em veículo em escala</t>
  </si>
  <si>
    <t>Complexidade matemática na implementação; Necessidade de sintonização precisa dos parâmetros do controlador</t>
  </si>
  <si>
    <t>Controle de Veículos e Aspectos Mecânicos</t>
  </si>
  <si>
    <t>Dreger &amp; Rinkenauer (2024)</t>
  </si>
  <si>
    <t>Evaluation of different feedback designs for target guidance in human controlled robotic cranes</t>
  </si>
  <si>
    <t>Investigar os efeitos da sonificação e feedback visual contínuo em movimentos de mira com guindaste robótico para grupos de alto e baixo desempenho</t>
  </si>
  <si>
    <t>Estudo com simulador utilizando 36 participantes controlando guindaste robótico com joysticks; Comparação entre feedback auditivo (tom/volume) e visual (brilho/tamanho)</t>
  </si>
  <si>
    <t>ANOVA de medidas repetidas e efeitos mistos; Análises post-hoc com ajuste Tukey; Cálculo de RSDs para comparação de desempenho</t>
  </si>
  <si>
    <t>Participantes de baixo desempenho mostraram maior precisão com feedback de pitch não-linear; Participantes de alto desempenho não apresentaram melhoria significativa; Satisfação percebida foi menor com feedback auditivo</t>
  </si>
  <si>
    <t>Demonstração que feedback auditivo em tempo real pode melhorar a precisão do operador; Análise detalhada dos efeitos de diferentes tipos de feedback para diferentes níveis de habilidade</t>
  </si>
  <si>
    <t>Limitado a operadores novatos; Desafios na aceitação do feedback auditivo; Sem transferência direta para operações de campo</t>
  </si>
  <si>
    <t>Force Feedback e Interface Háptica</t>
  </si>
  <si>
    <t>Bleicher et al. (2023)</t>
  </si>
  <si>
    <t>Sensor and actuator integrated tooling systems</t>
  </si>
  <si>
    <t>Apresentar avanços em sistemas de ferramentaria integrados com sensores e atuadores; Revisar tecnologias de sensores e atuadores usadas em sistemas de ferramentas</t>
  </si>
  <si>
    <t>Revisão abrangente de princípios de sensores e atuadores, métodos de transmissão de dados e energia, processamento de sinais e aplicações em diferentes operações de usinagem</t>
  </si>
  <si>
    <t>Comparação qualitativa de diferentes tecnologias; Análise de densidades de potência e frequências operacionais</t>
  </si>
  <si>
    <t>Sistemas de ferramentas integrados com sensores e atuadores melhoram precisão, robustez e produtividade; Principais desafios incluem miniaturização, transmissão sem fio e processamento embarcado</t>
  </si>
  <si>
    <t>Visão abrangente das tecnologias de sensores e atuadores em ferramentas; Categorização sistemática das possibilidades de integração física; Discussão de tendências futuras</t>
  </si>
  <si>
    <t>Foco principalmente em aplicações industriais/acadêmicas; Complexidade de integração em ambientes industriais reais; Custo elevado para implementação completa</t>
  </si>
  <si>
    <t>Luo et al. (2025)</t>
  </si>
  <si>
    <t>A portable, low-cost real-time imaging slab gel electrophoresis system for rapid separation of nucleic acids</t>
  </si>
  <si>
    <t>Desenvolver um sistema portátil de eletroforese em gel com capacidade de imagem em tempo real para análise de ácidos nucleicos em ambientes com recursos limitados</t>
  </si>
  <si>
    <t>Design modular compacto; Tanque de eletroforese com placas de quartzo para dissipação de calor; Painel LED uniforme; Detecção por smartphone com filtro óptico</t>
  </si>
  <si>
    <t>Simulação FEM para análise térmica; Análise quantitativa de uniformidade de irradiação; Análise de regressão para curva de calibração; Cálculo de LOD (limite de detecção)</t>
  </si>
  <si>
    <t>Sistema oferece dissipação passiva de calor eficiente; Detecção fluorescente com limite de detecção de 0,07 ng/μL; Faixa linear de 0,08-10,00 ng/μL; Permite processamento de 12 amostras por execução</t>
  </si>
  <si>
    <t>Sistema compacto, modular e de baixo custo (~$65); Grande área de imagem (100×60mm²); Monitoramento em tempo real; Alta eficiência (12 min a 100V)</t>
  </si>
  <si>
    <t>Falta de software integrado para análise de dados em tempo real; Processo de limpeza pós-eletroforese manual; Ausência de integração com tecnologias de preparação de amostras</t>
  </si>
  <si>
    <t>Aledhari et al. (2025)</t>
  </si>
  <si>
    <t>Safeguarding connected autonomous vehicle communication: Protocols, intra- and inter-vehicular attacks and defenses</t>
  </si>
  <si>
    <t>Apresentar análise detalhada de frameworks de segurança e protocolos para comunicações intra e inter-veicular de CAVs</t>
  </si>
  <si>
    <t>Metodologia de seleção de literatura com foco em protocolos de segurança para CAVs</t>
  </si>
  <si>
    <t>Análise comparativa de frameworks de segurança</t>
  </si>
  <si>
    <t>Classificação sistemática de vetores de ataque em ecossistemas CAV e taxonomia abrangente de ameaças</t>
  </si>
  <si>
    <t>Desenvolvimento de novo sistema de classificação para ameaças de segurança CAV, proposta de protocolos práticos de segurança, e casos de uso para integração em aplicações reais</t>
  </si>
  <si>
    <t>Foco limitado a ataques de comunicação sem abordar completamente vulnerabilidades físicas e de hardware</t>
  </si>
  <si>
    <t>Ayinla et al. (2024)</t>
  </si>
  <si>
    <t>Optimal control of DC motor using leader-based Harris Hawks optimization algorithm</t>
  </si>
  <si>
    <t>Desenvolver controladores PID e FOPID otimizados por LHHO para regulação precisa da velocidade de motores DC</t>
  </si>
  <si>
    <t>Leader-based Harris Hawks Optimization (LHHO) aplicado à otimização de parâmetros de controladores PID e FOPID usando função objetivo ITAE</t>
  </si>
  <si>
    <t>Análise comparativa de desempenho com avaliações quantitativas em métricas como tempo de subida, tempo de estabilização e overshoot máximo</t>
  </si>
  <si>
    <t>Os controladores propostos (LHHO-PID e LHHO-FOPID) demonstraram melhorias significativas em métricas de desempenho-chave, incluindo tempo de subida, tempo de estabilização e overshoot máximo</t>
  </si>
  <si>
    <t>Aplicação inovadora do algoritmo LHHO para otimização de controladores, demonstrando robustez superior e desempenho transitório</t>
  </si>
  <si>
    <t>Alta complexidade computacional da implementação do LHHO em sistemas embarcados; avaliações limitadas a motores DC específicos</t>
  </si>
  <si>
    <t>Controle de Motores DC e Velocidade</t>
  </si>
  <si>
    <t>Sousa Santos et al. (2024)</t>
  </si>
  <si>
    <t>Evaluation of the energy saving potential in electric motors applying a load-based voltage control method</t>
  </si>
  <si>
    <t>Investigar a viabilidade de economia de energia em motores elétricos ajustando a tensão de acordo com a carga</t>
  </si>
  <si>
    <t>Programa de teste laboratorial com motor elétrico de 1.1 kW, redes neurais para modelagem, e gerador de séries temporais para simulação do ciclo de vida</t>
  </si>
  <si>
    <t>Análise comparativa de eficiência e consumo energético entre operação sem controle e com controle de tensão baseado em carga</t>
  </si>
  <si>
    <t>Economia potencial de energia de 2%-5,2% usando o método proposto em motores operando com fator de carga inferior a 40%</t>
  </si>
  <si>
    <t>Demonstração da viabilidade técnica e econômica do método LVCM, com períodos de retorno do investimento inferiores a 3,5 anos</t>
  </si>
  <si>
    <t>Aplicabilidade limitada a motores que operam com fator de carga abaixo de 40%; resultados baseados principalmente em simulações com dados limitados de condições reais</t>
  </si>
  <si>
    <t>Butt et al. (2024)</t>
  </si>
  <si>
    <t>A review of perception sensors, techniques, and hardware architectures for autonomous low-altitude UAVs in non-cooperative local obstacle avoidance</t>
  </si>
  <si>
    <t>Fornecer uma revisão abrangente de sensores de percepção, técnicas e arquiteturas de hardware para UAVs autônomos em baixa altitude para evitar obstáculos não cooperativos</t>
  </si>
  <si>
    <t>Revisão bibliográfica categorizada em sensores (visuais, não-visuais, fusão), técnicas (baseadas em lacunas, geométricas, força repulsiva, IA) e arquiteturas de hardware</t>
  </si>
  <si>
    <t>Análise bibliométrica usando Web of Science para identificar tendências de publicação, com 1286 publicações relacionadas até 2022</t>
  </si>
  <si>
    <t>Categorização de técnicas de evitação de obstáculos não cooperativos em quatro grupos: métodos baseados em lacunas, métodos geométricos, métodos baseados em força repulsiva e métodos baseados em IA</t>
  </si>
  <si>
    <t>Fornece uma revisão abrangente dos componentes de evitação de obstáculos, categoriza métodos não cooperativos, apresenta arquiteturas de hardware usadas em UAVs de baixa altitude</t>
  </si>
  <si>
    <t>Limitado a UAVs multirrotores para vigilância em baixa altitude; foco principalmente em técnicas locais de evitação de obstáculos; não aborda extensivamente sistemas cooperativos</t>
  </si>
  <si>
    <t>Gariya et al. (2024)</t>
  </si>
  <si>
    <t>A review on soft pneumatic actuators with integrated or embedded soft sensors</t>
  </si>
  <si>
    <t>Fornecer uma revisão abrangente dos atuadores pneumáticos macios (SPAs) com sensores macios integrados ou incorporados, incluindo designs, sensores e aplicações</t>
  </si>
  <si>
    <t>Revisão sistemática de literatura sobre atuadores pneumáticos macios (SPAs), sensores macios e a integração SPA-sensor; análise de tendências de pesquisa; categorização de sensores (deformação, pressão, temperatura, tátil, flexão, óptico, magnético)</t>
  </si>
  <si>
    <t>Análise de tendências de publicação extraída do Web of Science, com 165 pesquisas desde 2009, mostrando aumento significativo de interesse (pico de 30 publicações em 2021)</t>
  </si>
  <si>
    <t>Identificação das principais categorias de SPAs (McKibben, Pneu-Nets, baseados em material jamming); avanços em materiais e técnicas para integração de sensores; tendências emergentes incluindo sensores multimodais, designs bioinspirados e integração com ML</t>
  </si>
  <si>
    <t>Revisão abrangente de sensores macios, técnicas de fabricação, avanços recentes e tendências emergentes em SPAs com sensores integrados; discussão de limitações e desafios atuais; direções futuras de pesquisa</t>
  </si>
  <si>
    <t>Compatibilidade de materiais entre sensores e atuadores; problemas com precisão de sensoriamento devido à não-linearidade e interferência ambiental; aumento de custos, tamanho e peso com a integração de sensores; questões de segurança relacionadas à proximidade com humanos</t>
  </si>
  <si>
    <t>Aljabri et al. (2024)</t>
  </si>
  <si>
    <t>Enhancing real-time intrusion detection system for in-vehicle networks by employing novel feature engineering techniques and lightweight modeling</t>
  </si>
  <si>
    <t>Desenvolver um sistema de detecção de intrusão (IDS) eficiente e em tempo real para redes veiculares usando técnicas inovadoras de engenharia de atributos e modelagem leve</t>
  </si>
  <si>
    <t>Desenvolvimento de um modelo de aprendizado profundo leve com duas características principais: entropia de dados calculada dinamicamente e pontuação de anomalia combinando entropia de dados e entropia de intervalo de tempo</t>
  </si>
  <si>
    <t>Uso de métricas de avaliação como acurácia, F1-score, taxa de detecção e FPR. Validação cruzada com 80% de dados para treinamento e 20% para teste</t>
  </si>
  <si>
    <t>Acurácia de 0,9946 e 0,9995 e F1-scores de 0,9945 e 0,9995 nos dois conjuntos de dados testados. Tempo de inferência de apenas 0,17 milissegundos</t>
  </si>
  <si>
    <t>1) Novos atributos dinâmicos de detecção: entropia de dados e pontuação de anomalia; 2) Modelo leve de aprendizado profundo para ambientes com recursos limitados; 3) Sistema de detecção de intrusão em tempo real com latência muito baixa</t>
  </si>
  <si>
    <t>Falta de identificação clara da causa raiz para diferentes preferências entre os usuários. Embora os recursos propostos sejam eficazes, permanece uma questão não resolvida sobre quais fatores demográficos determinam a preferência por diferentes métodos de feedback</t>
  </si>
  <si>
    <t>Xia et al. (2023)</t>
  </si>
  <si>
    <t>Visual-haptic feedback for ROV subsea navigation control</t>
  </si>
  <si>
    <t>Propor um sistema de feedback visual aumentado com simuladores hápticos para gerar feedback imersivo, intuitivo e eficaz para operadores humanos de ROVs subaquáticos</t>
  </si>
  <si>
    <t>Desenvolvimento de um sistema de realidade virtual (VR) aumentado com feedback visual e háptico para simular condições de fluxo baseadas em dados sensoriais. Experimento com humanos para verificar a eficácia</t>
  </si>
  <si>
    <t>Análise de desempenho de navegação, desvio médio, número de pontos de verificação alcançados, análise da carga cognitiva pela dilatação da pupila e questionários NASA-TLX e Trust Scale</t>
  </si>
  <si>
    <t>O sistema melhorou significativamente a capacidade dos operadores humanos de perceber as condições de fluxo no ambiente de trabalho do ROV de maneira mais imersiva e intuitiva</t>
  </si>
  <si>
    <t>1) Sistema de augmentação sensorial que converte parâmetros ambientais submarinos em sensações perceptíveis por humanos; 2) Interface homem-máquina aprimorada para operações submarinas; 3) Integração de feedback visual e háptico para melhor percepção do ambiente</t>
  </si>
  <si>
    <t>Experimento realizado apenas com tarefas simples de navegação em linha reta. Necessidade de testes em operações mais complexas envolvendo interação física com o ambiente e condições de fluxo dinâmico complexas</t>
  </si>
  <si>
    <t>Shendge, A., Singh, R., Ansari, K.I.B.H., Pakhrani, K. (2023)</t>
  </si>
  <si>
    <t>Development of an unmanned aerial vehicle for remote live streaming on web dashboard</t>
  </si>
  <si>
    <t>Desenvolver e implementar um Veículo Aéreo Não Tripulado (UAV) com capacidades de vigilância para streaming de vídeo ao vivo em um painel web</t>
  </si>
  <si>
    <t>Duas metodologias principais: simulações utilizando ROS com simulador Gazebo e experimentação prática com quadricóptero personalizado integrado com Raspberry Pi e câmera USB</t>
  </si>
  <si>
    <t>Análise de logs de voo para verificar estabilidade e latência na transmissão de vídeo</t>
  </si>
  <si>
    <t>Latência de 1-3 segundos na transmissão de vídeo ao vivo com taxa de 10 quadros por segundo na resolução de 640x480. Estabilidade de voo adequada para streaming suave de vídeo</t>
  </si>
  <si>
    <t>Um protótipo funcional para vigilância remota que permite visualizar o feed de vídeo do drone em um painel web e aplicações de visão computacional</t>
  </si>
  <si>
    <t>Alta latência (1-3s) na transmissão de vídeo, limitação do alcance de voo, acesso ao painel web apenas por dispositivos na mesma rede local, sem abordagem de questões de segurança</t>
  </si>
  <si>
    <t>Raspberry Pi/Arduino e Sistemas Embarcados</t>
  </si>
  <si>
    <t>Bobrovsky, A.V., Drobchenko, A.E., Zotov, A.V., Gorokhova, D.A., Chizhatkina, E.D. (2023)</t>
  </si>
  <si>
    <t>Development of a Universal Module for Connecting Sensors to the CAN-bus for the Formula Student Electric Car</t>
  </si>
  <si>
    <t>Desenvolver um módulo universal para conectar sensores ao barramento CAN, reduzindo a quantidade de cabos em um carro elétrico Formula Student</t>
  </si>
  <si>
    <t>Desenvolvimento de hardware e software específico com microcontrolador Teensy 4.0 rodando FreeRTOS, transceiver CAN TJA1051, e divisores de tensão para compatibilidade com diferentes sensores</t>
  </si>
  <si>
    <t>Não apresenta análise estatística formal</t>
  </si>
  <si>
    <t>Um dispositivo funcional que reduz o número de fios de sinal para apenas dois, com capacidade de conectar até 16 sensores</t>
  </si>
  <si>
    <t>Redução significativa na complexidade da fiação do veículo, proteção contra interferências elétricas, utilização do protocolo CAN para transmissão de dados segura</t>
  </si>
  <si>
    <t>Não especifica desempenho em condições extremas, limitações potenciais relacionadas ao número máximo de sensores suportados simultaneamente</t>
  </si>
  <si>
    <t>Garcés-Ruiz, A., Gil-González, W., &amp; Montoya, O.D. (2024)</t>
  </si>
  <si>
    <t>Stability analysis for an ad-hoc model predictive control in DC/DC converters with a constant power load</t>
  </si>
  <si>
    <t>Apresentar uma análise de estabilidade para um controle preditivo de modelo de horizonte único (MPC) para conversores DC/DC conectados a cargas de potência constante (CPLs).</t>
  </si>
  <si>
    <t>Análise de estabilidade formal usando o critério do traço-determinante para sistemas de tempo discreto em ℝ². Proposição de um MPC de horizonte único contínuo (CCS-MPC).</t>
  </si>
  <si>
    <t>Análise baseada em três indicadores: critério de erro absoluto integral (IAE), critério de erro absoluto multiplicado pelo tempo (ITAE) e critério de erro quadrado multiplicado pelo tempo (ITSE).</t>
  </si>
  <si>
    <t>O controle proposto estabiliza os conversores DC/DC com CPLs. Para o conversor Boost, o tempo de estabilização foi de cerca de 1,5 ms, enquanto para o Buck-Boost foi de cerca de 5 ms.</t>
  </si>
  <si>
    <t>Fornece uma metodologia geral aplicável a qualquer conversor DC/DC de segunda ordem; Apresenta prova formal de estabilidade em malha fechada; Propõe uma solução para o problema de instabilidade de CPLs.</t>
  </si>
  <si>
    <t>Abordagem em tempo discreto pode exigir otimização computacional offline; Desempenho depende da precisão do modelo do conversor.</t>
  </si>
  <si>
    <t>Castañeda, C.E., Valderrabano-Gonzalez, A., Gabbar, H.A., &amp; Sood, V.K. (2025)</t>
  </si>
  <si>
    <t>High-precision speed control of induction motors using a multi-pulse voltage source converter and advanced observer-based strategies</t>
  </si>
  <si>
    <t>Desenvolver um sistema preciso de controle de velocidade para motores de indução utilizando um conversor de fonte de tensão (VSC) de 84 pulsos e diversas estratégias baseadas em observadores.</t>
  </si>
  <si>
    <t>Implementação de um EMDS (Electric Motor Drive System) de alta precisão com VSC de 84 pulsos. Uso de três tipos de observadores: modo deslizante, assintótico e Luenberger para estimar variáveis não-mensuráveis.</t>
  </si>
  <si>
    <t>Análise RMS, IAE (Integral of Absolute Error) e ISE (Integral of Squared Error) para avaliar precisão e desempenho do sistema.</t>
  </si>
  <si>
    <t>O observador de modo deslizante (SMO) alcançou precisão de 97,5% RMS, 96,8% IAE e 95,3% ISE para rastreamento de velocidade angular. Para o conversor Boost, o controle proposto estabiliza em menos de 0,2 ms.</t>
  </si>
  <si>
    <t>Integração eficiente do VSC de 84 pulsos com técnicas avançadas de observação; Comparação detalhada entre diferentes observadores; Estratégia de controle robusta baseada em modos deslizantes.</t>
  </si>
  <si>
    <t>Complexidade do sistema requer processamento computacional significativo; Alta dependência da precisão dos observadores para estimação de fluxo e torque.</t>
  </si>
  <si>
    <t>Pan, J., Chen, F., Han, D., Ke, S., Wei, Z., Ding, H. (2025)</t>
  </si>
  <si>
    <t>Adaptive process parameters decision-making in robotic grinding based on meta-reinforcement learning</t>
  </si>
  <si>
    <t>Desenvolver um modelo adaptativo de tomada de decisão para parâmetros de processo de retificação robótica que ajuste com precisão os parâmetros sob diversas características de revestimento, múltiplos tipos de ferramentas de retificação e desgaste progressivo de ferramentas, com amostras de treinamento de poucos tiros.</t>
  </si>
  <si>
    <t>Desenvolvimento de dois algoritmos: 1) PPOBE (Proximal Policy Optimization with Better Experience) para otimizar parâmetros para tarefas específicas, 2) MAML-PPOBE integrando aprendizado meta-agnóstico para rápida adaptação entre tarefas heterogêneas.</t>
  </si>
  <si>
    <t>Experimentos em 16 tarefas de retificação distintas com análise comparativa de recompensas, perdas, valores e desvios de remoção de material entre os algoritmos MAML, PPOBE, SAC e FLC.</t>
  </si>
  <si>
    <t>Melhoria de 51,4%-68,9% no desvio de remoção de material em relação aos algoritmos MAML, PPOBE, SAC e FLC. O algoritmo PPOBE demonstrou recompensas 326% maiores que PPO e 199% maiores que TRPO.</t>
  </si>
  <si>
    <t>1) Introdução do algoritmo PPOBE que utiliza experiências melhores para treinar uma função otimizadora, direcionando o agente na seleção de ações. 2) Desenvolvimento do modelo MAML-PPOBE para tomada de decisão adaptativa em parâmetros de processo de retificação.</t>
  </si>
  <si>
    <t>1) Não há um número definido de hiperplanos necessários para dividir os planos d-dimensionais em regiões distintas. 2) Abordagem dependente de condições ambientais específicas e escalabilidade limitada em instalações de grande escala.</t>
  </si>
  <si>
    <t>Kumari, M., Singh, M.P., Singh, A.K. (2025)</t>
  </si>
  <si>
    <t>A latency sensitive and agile IIoT architecture with optimized edge node selection and task scheduling</t>
  </si>
  <si>
    <t>Propor uma arquitetura de computação em borda baseada em IIoT para monitoramento e controle sensíveis a atrasos em indústrias de manufatura que otimize o tempo de resposta do sistema e dos nós de dispositivos individuais.</t>
  </si>
  <si>
    <t>Arquitetura de três camadas baseada em edge-cloud com algoritmo de agendamento de tarefas usando Round Trip Time (RTT) e Resource Logger (RL) para melhorar a seleção de nós de borda e escalonamento de tarefas. Utiliza Locality Sensitive Hashing (LSH) para identificar nós de borda mais próximos.</t>
  </si>
  <si>
    <t>Simulação para comparar o algoritmo proposto RLRTT-ESA com algoritmos existentes (ATS-FOA e RBEC/PENB) em vários cenários, medindo tempo de resposta, carga média de trabalho nos nós de borda, atraso de comunicação e sobrecarga.</t>
  </si>
  <si>
    <t>O algoritmo RLRTT-ESA reduziu o atraso de comunicação e sobrecarga em 88,28% em comparação com a abordagem baseada em nuvem tradicional e 12,32% em comparação com os métodos propostos anteriormente. Melhoria do tempo de resposta total da aplicação em 47,25%.</t>
  </si>
  <si>
    <t>1) Arquitetura IIoT baseada em edge-cloud para monitoramento e controle sensíveis a atrasos, melhorando o tempo de resposta. 2) Algoritmo de programação de tarefas para encaminhamento da carga de execução computacional de DCn para ENm com atraso mínimo.</t>
  </si>
  <si>
    <t>Não apresenta um número fixo de hiperplanos necessários para dividir o plano d-dimensional em regiões distintas, resultando em dependência de condições ambientais específicas e escalabilidade limitada em instalações em grande escala.</t>
  </si>
  <si>
    <t>Ito, K., Nakazato, J., Fontugne, R., Tsukada, M., Esaki, H. (2025)</t>
  </si>
  <si>
    <t>A multipath redundancy communication framework for enhancing 5G mobile communication quality</t>
  </si>
  <si>
    <t>Propor uma estrutura de comunicação redundante para melhorar a qualidade do streaming em tempo real em redes 5G, focando especialmente em aplicações de streaming de mídia UDP</t>
  </si>
  <si>
    <t>Framework de comunicação redundante via múltiplos caminhos sobre duas redes móveis; implementação de replicação de pacotes e buffering; modelo baseado em GENEVE para tunelamento na camada IP</t>
  </si>
  <si>
    <t>Análise de perda de pacotes, taxa de bits, latência e distribuição da carga entre operadoras em ambientes reais</t>
  </si>
  <si>
    <t>Redução significativa na perda de pacotes (de 2,078% e 14,938% em redes individuais para 0,002% usando o framework); melhoria na taxa de bits em comparação com sistemas de comunicação redundante existentes</t>
  </si>
  <si>
    <t>Desenvolvimento de um framework que resolve problemas causados por inconsistências na ordem dos pacotes; funcionamento sem interferir nos mecanismos de controle de congestionamento das aplicações</t>
  </si>
  <si>
    <t>Overhead do sistema implementado (cerca de 40 ms); equilíbrio necessário entre confiabilidade e eficiência de frequência; necessidade de troca de endereços IP dos pontos finais do túnel GENEVE</t>
  </si>
  <si>
    <t>Comunicação UDP/WiFi e Protocolos de Rede</t>
  </si>
  <si>
    <t>Ugenti, A., Galati, R., Mantriota, G., Reina, G. (2023)</t>
  </si>
  <si>
    <t>Analysis of an all-terrain tracked robot with innovative suspension system</t>
  </si>
  <si>
    <t>Introduzir e analisar um novo robô de esteira com suspensão passiva articulada que permite que cada roda de estrada seja suspensa independentemente para adaptar-se a terrenos irregulares</t>
  </si>
  <si>
    <t>Design de suspensão articulada passivamente; modelo cinemático inverso baseado em equações de restrição e análise de força quase-estática; validação experimental com protótipo real</t>
  </si>
  <si>
    <t>Comparação entre resultados do modelo analítico e medições reais; análise de três Indicadores-Chave de Desempenho (KPIs): ângulo de inclinação, número de rodas em contato com o solo, e desvio padrão normalizado das forças normais do solo</t>
  </si>
  <si>
    <t>Boa concordância entre modelo e resultados reais (erro médio relativo de cerca de 4%); melhor desempenho em comparação com projeto de suspensão bio-inspirada existente para obstáculos altos</t>
  </si>
  <si>
    <t>Novo design de suspensão que oferece maior mobilidade que os robôs não articulados, mantendo simplicidade mecânica; ferramenta de modelagem para cinemática inversa; análise dos parâmetros de configuração para otimização</t>
  </si>
  <si>
    <t>Análise limitada à simetria de meia carroceria; overhead mecânico em comparação com sistemas não articulados; necessidade de otimização dos parâmetros de suspensão</t>
  </si>
  <si>
    <t>Ajayi et al. (2025)</t>
  </si>
  <si>
    <t>A review of haptic technologies for hardware-in-the-loop development</t>
  </si>
  <si>
    <t>To review haptic technologies over the years, understand their adoption and application with focus on hardware-in-the-loop</t>
  </si>
  <si>
    <t>Comprehensive literature review focusing on hardware components, sensors, actuators, and materials</t>
  </si>
  <si>
    <t>Not explicitly stated; qualitative comparison of technologies</t>
  </si>
  <si>
    <t>Flexible materials are more versatile in haptic applications due to flexibility, size, and ease of integration</t>
  </si>
  <si>
    <t>Comprehensive categorization of haptic feedback types and materials; analysis of specific applications</t>
  </si>
  <si>
    <t>Limited quantitative comparisons; focus primarily on hardware aspects with less emphasis on control and software</t>
  </si>
  <si>
    <t>Deng et al. (2024)</t>
  </si>
  <si>
    <t>Assisted teleoperation control of robotic endoscope with visual feedback for nasotracheal intubation</t>
  </si>
  <si>
    <t>To develop a master-slave robotic nasotracheal intubation system (RNIS) with assisted teleoperation control for endoscopic operation</t>
  </si>
  <si>
    <t>Design of a 4-DOF RNIS with visual feedback assistance using lumen center detection and role assignment law</t>
  </si>
  <si>
    <t>Experimental validation with error measurements, role weight evaluation, and comparison of different control methods</t>
  </si>
  <si>
    <t>The RNIS with assisted teleoperation achieved higher accuracy (30% error reduction), fewer collisions (42% less than manual operation), with acceptable operation time (approx. 80 seconds)</t>
  </si>
  <si>
    <t>Development of a novel master-slave RNIS; assisted teleoperation control strategy with visual feedback; role assignment law for human-robot coordination</t>
  </si>
  <si>
    <t>Longer operation time compared to manual operation; requiring considerable user training; challenges at anatomical junctions like the glottis</t>
  </si>
  <si>
    <t>Li, W., Huang, F., Chen, Z., Chen, Z. (2024)</t>
  </si>
  <si>
    <t>Automatic-switching-based teleoperation framework for mobile manipulator with asymmetrical mapping and force feedback</t>
  </si>
  <si>
    <t>Desenvolver um framework de teleoperação baseado em comutação automática para manipuladores móveis para lidar com o problema da heterogeneidade mestre-escravo</t>
  </si>
  <si>
    <t>- Design de coeficientes de comutação automática (𝜉𝑣, 𝜉𝜔, 𝜉𝜃, 𝜉𝑟, 𝜉ℎ)&lt;br&gt;- Mapeamento assimétrico híbrido posição-velocidade e posição-posição&lt;br&gt;- Feedback de força baseado em comutação automática&lt;br&gt;- Testes experimentais com Phantom Omni (local) e KUKA-Youbot (remoto)</t>
  </si>
  <si>
    <t>Comparação experimental do tempo de execução de tarefas e pressão de tomada de decisão do operador entre abordagens de comutação manual e automática</t>
  </si>
  <si>
    <t>- Redução do tempo de conclusão de tarefas em aproximadamente 25%&lt;br&gt;- Diminuição da carga de trabalho do operador&lt;br&gt;- Feedback de força correspondente às tarefas remotas</t>
  </si>
  <si>
    <t>- Framework de teleoperação com comutação automática suave entre estados de movimento&lt;br&gt;- Mapeamento assimétrico para cobrir o espaço de trabalho ilimitado remoto&lt;br&gt;- Feedback de força combinado para plataforma móvel e manipulador</t>
  </si>
  <si>
    <t>- Não considera o impacto do atraso de tempo na estabilidade do sistema&lt;br&gt;- Testado apenas em ambientes controlados&lt;br&gt;- Configuração experimental específica pode limitar a generalização</t>
  </si>
  <si>
    <t>Shukla, A., Ross, R., Bhattacharya, B., Stumpf, A. (2025)</t>
  </si>
  <si>
    <t>Autonomous water sampling and quality monitoring in remote locations: A novel approach using a remote-controlled boat</t>
  </si>
  <si>
    <t>Desenvolver um sistema de monitoramento de qualidade da água de baixo custo, baseado em barco RC modificado, que seja de código aberto, compacto, robusto e capaz de coletar amostras de água em diversos ambientes</t>
  </si>
  <si>
    <t>- Barco RC modificado (T888 10400, ZHM, China)&lt;br&gt;- Sistema de coleta de água baseado em seringa com atuador linear&lt;br&gt;- Sensores de qualidade da água (pH, oxigênio dissolvido, condutividade, ORP, temperatura)&lt;br&gt;- Sensor de profundidade sonar e sistema GPS RTK</t>
  </si>
  <si>
    <t>Validação dos sensores contra equipamentos de laboratório, com análise de erro percentual para pH, condutividade e oxigênio dissolvido</t>
  </si>
  <si>
    <t>- Erro de medição baixo em comparação com equipamentos de laboratório&lt;br&gt;- Condutividade: -2,60% a 0,98%&lt;br&gt;- pH: -3,79% a 2,01%&lt;br&gt;- DO: 0,03% a 3,23%&lt;br&gt;- Operação bem-sucedida em ambiente real</t>
  </si>
  <si>
    <t>- Sistema integrado de coleta de amostras e sensoriamento móvel&lt;br&gt;- Capacidade de coletar 8 amostras de água em diferentes locais&lt;br&gt;- Mapeamento preciso com RTK GPS&lt;br&gt;- Design aberto e de baixo custo ($2.400 USD)</t>
  </si>
  <si>
    <t>- Operação manual (não completamente autônoma)&lt;br&gt;- Duração de bateria limitada (6-7 horas)&lt;br&gt;- Necessidade de calibração frequente dos sensores&lt;br&gt;- Limitações em condições climáticas adversas</t>
  </si>
  <si>
    <t>Manuel, N. L., İnanç, N., &amp; Lüy, M. (2023)</t>
  </si>
  <si>
    <t>Control and performance analyses of a DC motor using optimized PIDs and fuzzy logic controller</t>
  </si>
  <si>
    <t>Analisar o desempenho de cinco meta-heurísticas (EO, PSO, TLBO, DE e GA) no ajuste de ganhos de controladores PID para controle de velocidade de motores DC e comparar com controlador de lógica fuzzy (FLC)</t>
  </si>
  <si>
    <t>Modelagem matemática do motor DC, implementação dos cinco algoritmos meta-heurísticos para ajuste de ganhos PID, implementação de controlador fuzzy e análise comparativa</t>
  </si>
  <si>
    <t>ANOVA e indicadores estatísticos (máximo, mínimo, média, mediana, desvio padrão) para os resultados ITAE; análises nos domínios do tempo e frequência</t>
  </si>
  <si>
    <t>Todos os algoritmos apresentaram ganhos próximos quando executados em número suficiente de rodadas; TLBO mostrou a maior velocidade de convergência; GA e DE foram os mais lentos; FLC superou os PIDs otimizados</t>
  </si>
  <si>
    <t>Análise comparativa abrangente de diferentes classes de algoritmos meta-heurísticos (baseados em física, enxame, humano e evolutivo) para ajuste de controladores PID; demonstração da superioridade do FLC em termos de desempenho</t>
  </si>
  <si>
    <t>Simulações realizadas apenas em ambiente MATLAB/Simulink sem implementação em sistema real; participantes do experimento limitados a um grupo específico</t>
  </si>
  <si>
    <t>Uemura, R., &amp; Asakura, T. (2024)</t>
  </si>
  <si>
    <t>Cross-modal feedback of tactile and auditory stimuli for cyclists in noisy environments</t>
  </si>
  <si>
    <t>Investigar métodos para melhorar a segurança e o feedback para ciclistas através de sinais auditivos e táteis, explorando feedback cross-modal em ambientes ruidosos</t>
  </si>
  <si>
    <t>Experimentos utilizando simulador de ciclismo com testes de reação cross-modal de sinais táteis e auditivos sob diferentes condições de ruído ambiental (tráfego rodoviário e ruído branco a 60dB e 75dB)</t>
  </si>
  <si>
    <t>ANOVA multifatorial, teste t de Student e comparações múltiplas de Tukey; análise de tempo de reação e precisão de reconhecimento para sinais táteis e auditivos</t>
  </si>
  <si>
    <t>Feedback cross-modal levou a tempos de reação mais rápidos; a precisão de reconhecimento dos sinais auditivos variou dependendo dos níveis de ruído ambiental; a parte posterior da cabeça (occipital) mostrou respostas mais rápidas</t>
  </si>
  <si>
    <t>Demonstração do potencial do feedback cross-modal para melhorar a segurança dos ciclistas; identificação de frequências ótimas para sinais auditivos em diferentes condições de ruído; comprovação da eficácia da estimulação occipital</t>
  </si>
  <si>
    <t>Estudo realizado em ambiente laboratorial controlado; participantes limitados a jovens do sexo masculino; não foram considerados fatores como diferentes velocidades de vento e condições climáticas</t>
  </si>
  <si>
    <t>Ji et al. (2023)</t>
  </si>
  <si>
    <t>Design and calibration of 3D printed soft deformation sensors for soft actuator control</t>
  </si>
  <si>
    <t>Desenvolver sensores deformáveis 3D impressos para controle em malha fechada de atuadores macios</t>
  </si>
  <si>
    <t>Projeto e teste de diferentes configurações de sensores em forma de onda senoidal impressos em 3D para medir a deformação de atuadores macios</t>
  </si>
  <si>
    <t>Análise estatística de desempenho com foco em histerese, erro de linearidade e desvio usando métodos de mínimos quadrados</t>
  </si>
  <si>
    <t>O sensor otimizado (espessura de 0,6 mm e 12 ondas) demonstrou desempenho superior com erro de estimação menor que 5% na faixa calibrada</t>
  </si>
  <si>
    <t>Desenvolvimento de sensores flexíveis impressos em 3D com materiais comerciais acessíveis que podem ser integrados diretamente a atuadores macios</t>
  </si>
  <si>
    <t>Desvio (drift) na resistência ao longo do tempo, limitação na precisão de detecção fora da faixa calibrada</t>
  </si>
  <si>
    <t>Impressão 3D e Sensores</t>
  </si>
  <si>
    <t>Shaik &amp; Peddakrishna (2025)</t>
  </si>
  <si>
    <t>Design and implementation of electric vehicle with autonomous motion and steering control system using single board computer and sensors</t>
  </si>
  <si>
    <t>Projetar e implementar um sistema de controle para veículo elétrico com modos manual e autônomo</t>
  </si>
  <si>
    <t>Integração de sensores (LIDAR, codificador rotativo, sensores de proximidade) e microcomputador Raspberry Pi 5 para controle de movimento e direção</t>
  </si>
  <si>
    <t>Análise correlacional entre ciclos PWM, tensão, velocidade e ângulos de rotação</t>
  </si>
  <si>
    <t>Operação bem-sucedida do veículo em modo autônomo a velocidades de 0-40 km/h com detecção de obstáculos de até 40 metros</t>
  </si>
  <si>
    <t>Desenvolvimento de um sistema de controle de veículo elétrico dual-mode (manual/autônomo) com foco em aplicações de campus</t>
  </si>
  <si>
    <t>Verificação realizada apenas em ambiente de campus controlado e apenas na direção para frente</t>
  </si>
  <si>
    <t>Meddeb, H., Abdellaoui, Z., &amp; Houaidi, F. (2022)</t>
  </si>
  <si>
    <t>Development of surveillance robot based on face recognition using Raspberry-PI and IOT</t>
  </si>
  <si>
    <t>Desenvolver um protótipo de baixo custo de um robô de vigilância móvel baseado em Raspberry Pi 4 com tecnologia de reconhecimento facial e IoT</t>
  </si>
  <si>
    <t>Sistema baseado em Raspberry Pi 4, com sensor PIR e câmera USB; Classificador Haar Cascade para detecção facial e algoritmo LBPH para reconhecimento facial; Interface web desenvolvida para controle remoto; Fluxo de vídeo por RTP</t>
  </si>
  <si>
    <t>Avaliação de desempenho do algoritmo de reconhecimento facial usando métricas como FNIR (taxa de identificação negativa falsa), TPIR (taxa de identificação positiva verdadeira) e precisão</t>
  </si>
  <si>
    <t>O sistema alcançou taxas de reconhecimento facial com precisão entre 90% e 100% para diferentes números de faces detectadas; O algoritmo LBPH demonstrou desempenho comparável a redes neurais convolucionais (93,33% vs 93,3% de CNN)</t>
  </si>
  <si>
    <t>Desenvolvimento de um robô de vigilância de baixo custo (327€) que integra IoT e reconhecimento facial; Sistema capaz de distinguir entre pessoal autorizado e intrusos; Alerta automático por email e notificações quando intrusos são detectados</t>
  </si>
  <si>
    <t>Preocupações com consumo de energia devido à operação contínua; Limitações de alcance do sensor PIR (7m); Possíveis problemas com variações de iluminação no reconhecimento facial</t>
  </si>
  <si>
    <t>Nkengne, S.T., Ndemanou, B.P., Chamgoué, A.C., Ngatcha, D.T., Fotsin, H.B., &amp; Kingni, S.T. (2024)</t>
  </si>
  <si>
    <t>Dynamic analysis and chaos control in heat-affected non-smooth brushless DC motors with load torque through genetic algorithms</t>
  </si>
  <si>
    <t>Analisar a dinâmica, validar via microcontrolador e controlar o caos em motores BDCM não-suaves afetados pelo calor com torque de carga usando algoritmos genéticos</t>
  </si>
  <si>
    <t>Modelagem matemática tridimensional do motor BDCM; Análise de estabilidade de estados estacionários; Simulação numérica usando algoritmo Runge-Kutta de 4ª ordem; Implementação em microcontrolador Arduino Mega 2560; Otimização de parâmetros com algoritmos genéticos</t>
  </si>
  <si>
    <t>Análise dos expoentes de Lyapunov para identificar comportamento caótico; Análise de bifurcação; Critério de Routh-Hurwitz para estabilidade; Função objetivo baseada na soma dos erros quadráticos totais</t>
  </si>
  <si>
    <t>Identificação de três estados estacionários com ramos estáveis e instáveis; Demonstração de bifurcação de Hopf, características antimonotônicas, bolhas caóticas e cinco formas diferentes de características caóticas; Controle bem-sucedido do caos através da otimização de parâmetros via algoritmos genéticos</t>
  </si>
  <si>
    <t>Análise abrangente dos efeitos combinados de temperatura e torque de carga em motores BDCM; Validação experimental via implementação em microcontrolador; Método eficaz de controle de caos sem necessidade de conhecimento de derivação ou integração do sistema</t>
  </si>
  <si>
    <t>Foco limitado a um modelo específico de motor BDCM; Aplicação prática em ambientes industriais reais não totalmente explorada; Complexidade computacional potencialmente alta para implementação em tempo real</t>
  </si>
  <si>
    <t>An, Joo, &amp; Kim (2025)</t>
  </si>
  <si>
    <t>Enabling low-latency digital twins for large-scale UAV networks using MQTT-based communication framework</t>
  </si>
  <si>
    <t>Propor um novo framework de comunicação (CMQC) para melhorar a transmissão de dados em tempo real em redes UAV de grande escala</t>
  </si>
  <si>
    <t>Arquitetura MQTT centralizada com simulador Webots e emulador de rede ONOS; topologia de rede parcialmente em malha</t>
  </si>
  <si>
    <t>Medições de intervalo de tempo entre processos, tempo total de conclusão, jitter e Age of Information (AoI); modelagem estatística com distribuição gamma</t>
  </si>
  <si>
    <t>O framework CMQC superou significativamente outros protocolos em todas as métricas, tendo o menor tempo de conclusão (0.0007s), menor jitter (0.126s) e menor AoI médio (1.120)</t>
  </si>
  <si>
    <t>Desenvolveu um framework para gêmeos digitais de baixa latência para redes UAV; incorporou mecanismo de tratamento de erros personalizado; introduziu métrica de distância Fréchet para avaliar precisão dos gêmeos digitais</t>
  </si>
  <si>
    <t>Limitado a testes em ambientes simulados; potenciais desafios em implementações do mundo real com condições de rede variáveis</t>
  </si>
  <si>
    <t>Huang, Liu, &amp; Zhu (2023)</t>
  </si>
  <si>
    <t>Hierarchical reinforcement learning with adaptive scheduling for robot control</t>
  </si>
  <si>
    <t>Desenvolver um algoritmo de aprendizado por reforço hierárquico (HAS) que equilibre exploração e exploração durante o agendamento frequente de opções contínuas</t>
  </si>
  <si>
    <t>Aprendizado por reforço hierárquico com mecanismo de agendamento adaptativo; arquitetura de dois níveis com controlador de alto e baixo nível</t>
  </si>
  <si>
    <t>Distância t-step esperada para medir capacidade de exploração; avaliação empírica em problemas de controle de robôs com recompensas esparsas</t>
  </si>
  <si>
    <t>O HAS atingiu taxas de sucesso superiores (93% em média) em comparação com algoritmos de linha de base, com taxas de convergência mais rápidas; demonstrou melhor desempenho especialmente em tarefas complexas como FetchSlide (64%)</t>
  </si>
  <si>
    <t>Método de agendamento adaptativo para equilibrar exploração e exploração; incentivo de interrupção para mitigar exploração excessiva; aplicação bem-sucedida em controles de robôs com recompensas esparsas</t>
  </si>
  <si>
    <t>Dependência de parâmetros como dimensão da opção e etapa intra-opção; maior tempo de aprendizado em fases iniciais comparado com algoritmos de RL densos</t>
  </si>
  <si>
    <t>Vashisht, A., Gandhi, G.C., Kalra, S., Saini, D.K. (2025)</t>
  </si>
  <si>
    <t>Hybrid robot navigation: Integrating monocular depth estimation and visual odometry for efficient navigation on low-resource hardware</t>
  </si>
  <si>
    <t>Desenvolver um método de navegação robótica híbrido que combine técnicas baseadas em mapa da odometria visual (VO) clássica com técnicas sem mapa baseadas em estimativa de profundidade monocular (MDE) para ambientes de baixo recurso computacional</t>
  </si>
  <si>
    <t>Método híbrido que utiliza MDE para detecção do obstáculo mais próximo, VO para estimar a distância métrica, odometria de roda para localização, detecção de objetos para identificar alvos e algoritmo A* modificado para planejamento de caminho</t>
  </si>
  <si>
    <t>Teste de Friedman para validar diferenças estatisticamente significativas no desempenho de navegação; MAE, RMSE e REL para avaliação de estimativas de profundidade</t>
  </si>
  <si>
    <t>O sistema híbrido alcançou taxa de sucesso de 85% em velocidade baixa e 65% em velocidade alta; O MiDaS V2.0 teve desempenho melhor em termos de tempo de inferência (0,58s) versus Depth Anything (18,39s) em hardware de baixo recurso</t>
  </si>
  <si>
    <t>Primeira integração de navegação sem mapa baseada em MDE com construção de mapa baseada em VO; Algoritmo A* modificado para priorizar espaço livre; Foco na minimização de requisitos computacionais para dispositivos com recursos limitados</t>
  </si>
  <si>
    <t>Falhas em condições de baixa iluminação; Dificuldades na navegação em espaços apertados com obstáculos muito próximos; Taxa de quadros limitada (1,3 FPS) em Raspberry Pi 4</t>
  </si>
  <si>
    <t>Talau, M., Herek, T.A., Fonseca, M., Wille, E.C.G. (2023)</t>
  </si>
  <si>
    <t>Improving TCP performance over a common IoT scenario using the Early Window Tailoring method</t>
  </si>
  <si>
    <t>Propor uma modificação do método Early Window Tailoring (EWT) para funcionar em um ambiente IoT, usando um novo mecanismo para medir a ocupação do buffer e informar as condições de rede às fontes</t>
  </si>
  <si>
    <t>EWT-IoT que atua alterando o valor contido na janela anunciada pelo receptor dos segmentos TCP ACK, utilizando média móvel ponderada para o número de bytes disponíveis na memória do roteador</t>
  </si>
  <si>
    <t>Intervalos de confiança de 95% calculados a partir de 30 rodadas com diferentes sementes de números aleatórios; Testes comparativos contra drop-tail, RED, ARED e EWA</t>
  </si>
  <si>
    <t>O EWT-IoT provou ser eficaz no controle de congestionamento, alcançando maior desempenho que outras abordagens, reduzindo o tempo de transferência, tendo goodput superior, mantendo justiça satisfatória e sem apresentar perdas; Permitiu a existência de um número de fluxos em média 65,2% melhor que seu melhor concorrente e 71,3% melhor quando nenhum esquema AQM foi usado</t>
  </si>
  <si>
    <t>Nova versão do EWT para cenários IoT; Modelagem analítica do EWT-IoT; Uso de média móvel para estimar o buffer disponível; Compatibilidade com variantes TCP existentes</t>
  </si>
  <si>
    <t>Testado apenas em ambiente simulado; Limitações em termos de escalabilidade; Não foram testados cenários com mistura heterogênea de dispositivos IoT</t>
  </si>
  <si>
    <t>Colaković (2023)</t>
  </si>
  <si>
    <t>IoT systems modeling and performance evaluation</t>
  </si>
  <si>
    <t>Apresentar um modelo para descrição formal de sistemas IoT e um método de avaliação analítica para otimizar performance</t>
  </si>
  <si>
    <t>Modelo de três camadas para sistemas IoT-Fog-Cloud com diferentes modelos de integração, usando função utilidade para avaliação</t>
  </si>
  <si>
    <t>Avaliação comparativa de latência de serviço e consumo de energia entre diferentes modelos de integração</t>
  </si>
  <si>
    <t>O modelo proposto permite selecionar arquiteturas e tecnologias adequadas para aplicações IoT específicas. O método de avaliação analítica provou ser eficaz para otimizar performance baseada em múltiplas métricas</t>
  </si>
  <si>
    <t>Apresenta um modelo formal para descrição de sistemas IoT e um método quantitativo para avaliação que considera múltiplas métricas, facilitando a seleção da arquitetura e tecnologias</t>
  </si>
  <si>
    <t>O método ainda pode não capturar todas as complexidades de implementações reais de IoT. A análise é baseada em cenários específicos que podem não generalizar para todos os casos de uso</t>
  </si>
  <si>
    <t>Khodamipour, Khorashadizadeh, &amp; Farshad (2023)</t>
  </si>
  <si>
    <t>Adaptive formation control of leader–follower mobile robots using reinforcement learning and the Fourier series expansion</t>
  </si>
  <si>
    <t>Desenvolver um controlador de formação para robôs móveis líder-seguidor baseado em aprendizado por reforço e expansão da série de Fourier</t>
  </si>
  <si>
    <t>Controlador baseado no modelo dinâmico incluindo motores DC como atuadores, utilizando estratégia ator-crítico de aprendizado por reforço e expansão da série de Fourier</t>
  </si>
  <si>
    <t>Análise de estabilidade de Lyapunov e comparação com redes neurais RBF</t>
  </si>
  <si>
    <t>O controlador proposto reduziu significativamente o índice de performance de erros de rastreamento em comparação com redes neurais RBF. Apenas os três primeiros termos da série de Fourier foram necessários para lidar com incertezas</t>
  </si>
  <si>
    <t>Apresenta um controlador sem modelo baseado em tensão que não necessita de sensores de corrente. Combina estratégias de aprendizado por reforço com expansão da série de Fourier, reduzindo a quantidade de parâmetros a serem ajustados</t>
  </si>
  <si>
    <t>Pode não ser eficaz em cenários com alta dinâmica ou perturbações externas significativas. A validação experimental em hardware real não foi apresentada no artigo</t>
  </si>
  <si>
    <t>Cañadas-Aránega et al. (2024)</t>
  </si>
  <si>
    <t>A PID-based control architecture for mobile robot path planning in greenhouses</t>
  </si>
  <si>
    <t>Desenvolver uma estratégia de controle para um robô móvel de tipo Ackermann para operação em estufas</t>
  </si>
  <si>
    <t>Mecanismo de controle em cascata com (i) loop interno baseado em PID para dois motores e (ii) controle Pure Pursuit para o loop externo; Aplicação de estratégia feedforward</t>
  </si>
  <si>
    <t>Simulação utilizando Simulink Matlab e testes de malha aberta em protótipo real</t>
  </si>
  <si>
    <t>O controle em cascata com PID para controle interno dos motores e Pure Pursuit para controle externo da posição demonstrou resultados satisfatórios no seguimento de trajetória</t>
  </si>
  <si>
    <t>Propõe um esquema feedforward para lidar com terrenos irregulares em estufas; Integra controle interno dos motores e controle de trajetória</t>
  </si>
  <si>
    <t>Limitado a testes em malha aberta no protótipo real; Necessidade de modelagem precisa do sistema para calibração do PID</t>
  </si>
  <si>
    <t>Graf et al. (2024)</t>
  </si>
  <si>
    <t>Monitoring performance metrics in low-power wireless systems</t>
  </si>
  <si>
    <t>Fornecer uma visão abrangente sobre métricas de desempenho para sistemas wireless de baixa potência e apresentar um tutorial prático</t>
  </si>
  <si>
    <t>Survey de métricas e tutorial prático com implementação de um framework de monitoramento; Foco em sistemas 6TiSCH (Time Synchronized Channel Hopping)</t>
  </si>
  <si>
    <t>Análise de consumo de energia de diferentes configurações de heartbeat e de diferentes formatos de serialização</t>
  </si>
  <si>
    <t>Identificação de métricas importantes para monitoramento em tempo real; Implementação bem-sucedida de um framework de monitoramento usando Memfault em uma rede SmartMesh IP</t>
  </si>
  <si>
    <t>Fornece um checklist abrangente de métricas para desenvolvedores; Compara RTOSs em termos de funcionalidades de APM; Demonstra implementação prática com código disponível</t>
  </si>
  <si>
    <t>A implementação do tutorial foca apenas em monitoramento ativo; O estudo de caso não avalia todas as métricas listadas no survey</t>
  </si>
  <si>
    <t>Barón et al. (2025)</t>
  </si>
  <si>
    <t>On the performance of Zenoh in Industrial IoT Scenarios</t>
  </si>
  <si>
    <t>Analisar o desempenho do Eclipse Zenoh em cenários de IoT Industrial e compará-lo com MQTT</t>
  </si>
  <si>
    <t>Testbed real utilizando dispositivos Raspberry Pi, comparando topologias de rede com TCP e UDP, incluindo testes de mobilidade</t>
  </si>
  <si>
    <t>Análise comparativa da latência (RTT), confiabilidade e mecanismos de controle de congestionamento</t>
  </si>
  <si>
    <t>Zenoh demonstrou vantagens significativas em termos de latência, tanto em topologias simples quanto complexas; ofereceu melhor desempenho em cenários de mobilidade; e mostrou diferentes comportamentos de perda de pacotes usando TCP vs UDP</t>
  </si>
  <si>
    <t>1) Descrição abrangente dos princípios do Eclipse Zenoh; 2) Análise comparativa de Zenoh e MQTT em termos de latência; 3) Avaliação do desempenho em cenários de mobilidade; 4) Avaliação dos mecanismos de confiabilidade e controle de congestionamento</t>
  </si>
  <si>
    <t>Limitada a topologias específicas; foco apenas na comparação com MQTT; testes em ambiente controlado que podem não refletir todos os desafios de implantações reais</t>
  </si>
  <si>
    <t>Nieto et al. (2025)</t>
  </si>
  <si>
    <t>Open-source ROS-based simulation for verification of FPGA robotics applications</t>
  </si>
  <si>
    <t>Propor uma metodologia para verificação de aplicações robóticas baseadas em FPGA que integre simulação funcional do FPGA com simulação comportamental do robô</t>
  </si>
  <si>
    <t>Integração do simulador Verilator (para FPGA) com ROS e Gazebo (para robótica), utilizando conectores de software para vincular os módulos Verilog com os sensores e atuadores do robô</t>
  </si>
  <si>
    <t>Análise qualitativa da utilidade da metodologia; análise quantitativa do tempo de processamento para diferentes resoluções de quadros</t>
  </si>
  <si>
    <t>Metodologia proposta permite ciclos de depuração mais rápidos e seguros; integração bem-sucedida do Verilator com as tecnologias ROS; validação experimental bem-sucedida com um robô TurtleBot2 seguindo objetos coloridos</t>
  </si>
  <si>
    <t>1) Nova metodologia para verificação de aplicações robóticas baseadas em FPGA; 2) Integração do Verilator com ROS/Gazebo através de conectores open-source; 3) Validação experimental usando uma aplicação de robótica com visão</t>
  </si>
  <si>
    <t>Limitações de desempenho para resoluções maiores (680ms/frame para resolução VGA); requer computadores poderosos para simulação em tempo real de sistemas complexos; orientado principalmente para aplicações de robótica baseadas em visão</t>
  </si>
  <si>
    <t>Gokçe et al. (2025)</t>
  </si>
  <si>
    <t>Parameter estimation and speed control of real DC motor with low resolution encoder</t>
  </si>
  <si>
    <t>Realizar estimação de parâmetros e controle de velocidade de um motor DC com encoder óptico de baixa resolução</t>
  </si>
  <si>
    <t>Otimização por Enxame de Partículas (PSO) para estimação de parâmetros; Controle PI para closed-loop; Modelo de primeira ordem para o motor DC</t>
  </si>
  <si>
    <t>Análise comparativa entre simulações e resultados experimentais; Medição normalizada da velocidade do motor</t>
  </si>
  <si>
    <t>Estimação bem-sucedida dos parâmetros do motor DC usando PSO; Oscilações em torno do valor de referência menores que 10% tanto nas simulações quanto nos experimentos</t>
  </si>
  <si>
    <t>Demonstração da eficácia de PSO para estimação de parâmetros em sistemas lineares simples; Implementação prática com encoder de baixa resolução (96 pulsos por revolução)</t>
  </si>
  <si>
    <t>Limitado a sistemas de entrada única e saída única (SISO); O atrito estático na caixa de engrenagens não foi modelado nas simulações; Resultados desviam nas configurações de controladores com constantes pequenas</t>
  </si>
  <si>
    <t>Kumar &amp; Dezfouli (2024)</t>
  </si>
  <si>
    <t>quicSDN: Transitioning from TCP to QUIC for southbound communication in software-defined networks</t>
  </si>
  <si>
    <t>Propor uma arquitetura para substituir TCP por QUIC em comunicações southbound em SDNs</t>
  </si>
  <si>
    <t>Desenvolvimento do framework quicSDN; Modelagem analítica do overhead de comunicação; Avaliação empírica em testbed real</t>
  </si>
  <si>
    <t>Comparação do overhead de comunicação e latência de entrega de mensagens entre quicSDN e tcpSDN; Avaliação com diferentes taxas de perda de pacotes (1% e 5%) e RTTs</t>
  </si>
  <si>
    <t>O quicSDN reduz o overhead de comunicação em até 82% e o atraso de entrega de mensagens em até 45% em comparação com tcpSDN</t>
  </si>
  <si>
    <t>Desenvolvimento de um framework para transição de TCP para QUIC em SDNs; Modelagem analítica do overhead de QUIC vs TCP; Demonstração de mitigação do problema HOL blocking</t>
  </si>
  <si>
    <t>Consideração apenas do algoritmo de controle de congestionamento CUBIC; Foco limitado a alguns protocolos southbound (OpenFlow e OVSDB)</t>
  </si>
  <si>
    <t>Feudjio et al. (2025)</t>
  </si>
  <si>
    <t>Real-time deep learning for multi-label retinal disease diagnosis with embedded system</t>
  </si>
  <si>
    <t>Desenvolver uma plataforma de classificação para diagnóstico de doenças retinianas usando um sistema embarcado (Raspberry Pi 4)</t>
  </si>
  <si>
    <t>Sistema embarcado com modelo CNN leve integrado com transformadas wavelet biortogonais para extração de características</t>
  </si>
  <si>
    <t>Avaliação de desempenho usando precisão, acurácia, F1-score, recall e matriz de confusão</t>
  </si>
  <si>
    <t>Acurácia de 0,9806 na classificação de quatro classes de patologias retinianas</t>
  </si>
  <si>
    <t>Sistema portátil, acessível e energeticamente eficiente para diagnóstico de doenças retinianas em áreas com recursos limitados</t>
  </si>
  <si>
    <t>Falta de análise aprofundada do impacto dos diferentes dispositivos usados para capturar imagens de fundo de retina; uso exclusivo de datasets com imagens capturadas por dispositivos tradicionais</t>
  </si>
  <si>
    <t>Kharzi et al. (2025)</t>
  </si>
  <si>
    <t>Real-time embedded ECG anomaly detection system with comparative analysis of CWT-based transfer learning performance across electrode types</t>
  </si>
  <si>
    <t>Desenvolver um sistema em tempo real de assistência ao diagnóstico de ECG com eletrodos secos, usando transfer learning e transformada wavelet contínua (CWT)</t>
  </si>
  <si>
    <t>Sistema com eletrodos secos conectados a microcontrolador STM32F103C8T6 e circuito AD8232, usando modelos de transfer learning (V19, VGG16, etc.) com scalogramas CWT</t>
  </si>
  <si>
    <t>Avaliação usando precisão, acurácia, F1-score, recall, perda (loss) e curva ROC</t>
  </si>
  <si>
    <t>O modelo VGG19 alcançou acurácia de 99,87% quando implementado em placa Jetson Nano</t>
  </si>
  <si>
    <t>Sistema que combina aquisição de sinal, processamento e interpretação inteligente para diagnóstico de ECG em tempo real usando eletrodos secos mais confortáveis</t>
  </si>
  <si>
    <t>Alta demanda computacional para conversão CWT e classificação; limitação de monitoramento com eletrodo único; RAM limitada (4GB) da placa embarcada</t>
  </si>
  <si>
    <t>Chen &amp; Noguchi (2023)</t>
  </si>
  <si>
    <t>Remote safety system for a robot tractor using a monocular camera and a YOLO-based method</t>
  </si>
  <si>
    <t>Desenvolver um sistema de segurança remoto para monitorar tratores robôs em operações agrícolas</t>
  </si>
  <si>
    <t>Sistema de segurança remoto baseado em câmera monocular e detecção de obstáculos usando YOLOv5s, com posicionamento PNP</t>
  </si>
  <si>
    <t>Q-Q plots e t-tests foram usados para analisar os desvios de detecção em diferentes intervalos de distância</t>
  </si>
  <si>
    <t>Posicionamento humano com erro relativo de 2,6% a 15 m; detecção correta de todos os alvos nos experimentos de campo 2022-2023</t>
  </si>
  <si>
    <t>Sistema de monitoramento remoto que permite que um único operador controle múltiplos tratores robôs, reduzindo custos operacionais e melhorando a eficiência</t>
  </si>
  <si>
    <t>Desafios na correção de posicionamento do trator devido ao tamanho maior; limitações na velocidade de detecção durante alta movimentação; dependência da qualidade da rede para transmissão remota</t>
  </si>
  <si>
    <t>Luo et al. (2024)</t>
  </si>
  <si>
    <t>Research on passive adaptive wall-climbing cleaning and inspection robot of marine cylindrical steel structure based on conical magnetic adsorption wheel</t>
  </si>
  <si>
    <t>Desenvolver um robô de limpeza e inspeção para estruturas cilíndricas de aço marinho com capacidade de adaptação a diferentes curvaturas</t>
  </si>
  <si>
    <t>Robô com rodas magnéticas cônicas e estrutura adaptativa passiva de dois graus de liberdade; análise paramétrica para otimização da força de adsorção magnética</t>
  </si>
  <si>
    <t>Análise da força magnética e análise estatística do ângulo de cone ótimo; simulação e validação experimental da força de adsorção</t>
  </si>
  <si>
    <t>O robô pode mover-se livremente em estruturas cilíndricas de diferentes diâmetros (280-1100mm); eficiência de limpeza de 197 m²/h com pressão de água de 50 MPa</t>
  </si>
  <si>
    <t>Mecanismo de adaptação passiva que permite às quatro rodas do robô manterem contato com superfícies cilíndricas; redução de peso e aumento da força magnética com rodas cônicas</t>
  </si>
  <si>
    <t>Variação na força de adsorção dependendo do ângulo entre o eixo da roda e o eixo da estrutura cilíndrica; diferença entre valores teóricos e experimentais da força magnética</t>
  </si>
  <si>
    <t>García Villaescusa et al. (2023)</t>
  </si>
  <si>
    <t>Response-time analysis of mesh-based many-core systems</t>
  </si>
  <si>
    <t>Analisar o tempo de resposta de sistemas many-core baseados em malha 2D</t>
  </si>
  <si>
    <t>Modelo de programação para análise de escalonabilidade com restrição na taxa máxima de utilização de links</t>
  </si>
  <si>
    <t>Análise do tempo de resposta (WCRT) usando ferramentas MAST</t>
  </si>
  <si>
    <t>O modelo proposto demonstrou ser menos pessimista que modelos existentes em estudos comparativos</t>
  </si>
  <si>
    <t>Modelagem e técnica de análise que permite estudar o comportamento da rede e das tarefas; Modelagem de mecanismos de comunicação de alto nível; Aplicação e teste em plataforma real (processador Epiphany)</t>
  </si>
  <si>
    <t>A restrição de taxa máxima de utilização de links pode limitar alguns sistemas; O modelo não considera multi-path flows com múltiplos sucessores ou predecessores</t>
  </si>
  <si>
    <t>Zhang et al. (2024)</t>
  </si>
  <si>
    <t>Robust ELM-PID tracing control on autonomous mobile robot via transformer-based pavement crack segmentation</t>
  </si>
  <si>
    <t>Desenvolver um sistema de rastreamento de rachaduras em pavimentos para selagem automática</t>
  </si>
  <si>
    <t>Rede ViT-S2T com controlador ELM-PID em robô móvel autônomo</t>
  </si>
  <si>
    <t>Métricas de segmentação (precisão, recall, mAP@0.5) e métricas de controle (MAX, RMSE, MAE)</t>
  </si>
  <si>
    <t>Precisão de 82,76% e mAP@0.5 de 75,63% na segmentação; velocidade de 0,0513 m/s no rastreamento</t>
  </si>
  <si>
    <t>Framework robusto para extração e rastreamento de trajetória de rachaduras; Rede ViT-S2T para captura de características contextuais globais; Controlador ELM-PID com auto-ajuste adaptativo</t>
  </si>
  <si>
    <t>Foco apenas em características de rachaduras individuais; Não aborda cenários complexos como rachaduras múltiplas ou interceptantes; Ambiente de fundo relativamente ideal; Desempenho em tempo real ainda limitado</t>
  </si>
  <si>
    <t>Yu, S., Liu, X., Tan, Q., Wang, Z., Zhang, B. (2024)</t>
  </si>
  <si>
    <t>Sensors, systems and algorithms of 3D reconstruction for smart agriculture and precision farming: A review</t>
  </si>
  <si>
    <t>Fornecer uma revisão detalhada das tecnologias de reconstrução 3D para agricultura inteligente</t>
  </si>
  <si>
    <t>Revisão da literatura sobre sensores, sistemas e algoritmos de reconstrução 3D</t>
  </si>
  <si>
    <t>Não aplicável (artigo de revisão)</t>
  </si>
  <si>
    <t>Apresentação compreensiva dos avanços em sensores (LiDAR, câmeras RGB-D, etc.), sistemas e métodos de reconstrução 3D para agricultura</t>
  </si>
  <si>
    <t>Revisão abrangente das aplicações de reconstrução 3D em robótica agrícola, fenotipagem de culturas, pecuária e indústria alimentícia</t>
  </si>
  <si>
    <t>Foco limitado em desafios específicos de implementação; falta de análise quantitativa comparativa entre diferentes técnicas</t>
  </si>
  <si>
    <t>Friedrich, C., Schlüter, F., Ihlenfeldt, S. (2023)</t>
  </si>
  <si>
    <t>Spatial hybrid/parallel force control of a hexapod machine tool using structure-integrated force sensors and a commercial numerical control</t>
  </si>
  <si>
    <t>Desenvolver e validar controle de força espacial para uma máquina-ferramenta hexapod utilizando sensores de força integrados à estrutura</t>
  </si>
  <si>
    <t>Implementação de duas abordagens para controle híbrido/paralelo de força: LR1 (baseado em PLC) e LR2 (abordagem "man-in-the-middle" com código G)</t>
  </si>
  <si>
    <t>Testes experimentais com análise de desempenho de diferentes sistemas de sensores</t>
  </si>
  <si>
    <t>Viabilidade do controle de força usando sensores integrados à estrutura; implementação prática de códigos G para programação de controle de força</t>
  </si>
  <si>
    <t>Sistema de medição de força estrutural-integrado; controle de força em 6 graus de liberdade; integração com controle numérico comercial</t>
  </si>
  <si>
    <t>Menor dinâmica dos sistemas de medição integrados à estrutura em comparação com sensores FT convencionais; limitações do método LR1 para aplicações que exigem alta dinâmica</t>
  </si>
  <si>
    <t>Zhu, B., He, J., Gao, F. (2024)</t>
  </si>
  <si>
    <t>Stiffness optimization design of wheeled-legged rover integrating active and passive compliance capabilities</t>
  </si>
  <si>
    <t>Desenvolver um método para otimizar os parâmetros de rigidez de um rover com pernas com rodas para melhorar sua adaptabilidade a terrenos irregulares</t>
  </si>
  <si>
    <t>Análise teórica, simulação (método performance atlas) e experimentos com um protótipo TAWL (Terrain-Adaptive Wheel-Legged rover)</t>
  </si>
  <si>
    <t>Análise de coeficientes de desempenho, análise de otimização multi-objetivo</t>
  </si>
  <si>
    <t>Os parâmetros de rigidez otimizados (rigidez da mola k = 6,73 N/mm, θ₃ = 64,0°, θ₄ = 149,7°) proporcionaram um equilíbrio ideal entre adaptabilidade ao terreno, capacidade de carga, eficiência energética e estabilidade</t>
  </si>
  <si>
    <t>Um método de otimização de rigidez prático para sistemas com conformidade ativa e passiva; análise abrangente do desempenho de sistemas com pernas com rodas</t>
  </si>
  <si>
    <t>Complexidade computacional do método de análise do atlas de desempenho; limitação em comprar molas com os valores exatos de rigidez especificados</t>
  </si>
  <si>
    <t>Zhang, Y., Jiang, Q., Wang, F., Wang, J., Ye, M., Li, D. (2024)</t>
  </si>
  <si>
    <t>Tac-scope: An endoscope integrated with soft sensor for real-time tactile feedback</t>
  </si>
  <si>
    <t>Desenvolver um endoscópio flexível com capacidade de feedback tátil em tempo real para melhorar a segurança em cirurgias endoscópicas</t>
  </si>
  <si>
    <t>Integração de sensores táteis moles usando Grade de Bragg em Fibra (FBG) na ponta do endoscópio; análise teórica, simulação e testes experimentais</t>
  </si>
  <si>
    <t>Testes de linearidade, repetibilidade, resolução, sensibilidade, compensação de temperatura</t>
  </si>
  <si>
    <t>O Tac-scope apresentou linearidade de 0,991, erro de repetibilidade de 6,46%, resolução de 8,8 mN, sensibilidade de 0,693 nm/N, erro médio de 4,4%, e erro de detecção de orientação de 3,57%. Reduziu a força de contato em 60% e o tempo de operação em 30%</t>
  </si>
  <si>
    <t>Preserva a função original do endoscópio enquanto proporciona feedback tátil; permite contato suave com a parede do lúmen; detecção em tempo real da força e orientação do contato</t>
  </si>
  <si>
    <t>Limitada informação sobre dureza do tumor; restrições no tamanho do desmodulador FBG; a primeira geração do sensor foi fabricada com materiais de baixo custo, sem encapsulamento e esterilização adequados</t>
  </si>
  <si>
    <t>Huo, Wang, Fang &amp; Sun (2024)</t>
  </si>
  <si>
    <t>The influence of tactile feedback in In-vehicle central control interfaces on driver emotions: A comparative study of touchscreens and physical buttons</t>
  </si>
  <si>
    <t>Investigar os efeitos do modo e intensidade de feedback tátil nas interfaces de controle central em veículos sobre as emoções dos motoristas</t>
  </si>
  <si>
    <t>Experimento de condução simulada; Self-Assessment Manikin (SAM) para medir emoções; 42 participantes realizaram tarefas não relacionadas à condução (NDRTs)</t>
  </si>
  <si>
    <t>ANOVA de medidas repetidas; Análise de correlação para desempenho operacional e emoções</t>
  </si>
  <si>
    <t>Feedback tátil de tela sensível ao toque eliciou estados emocionais mais positivos; A intensidade do feedback tátil da tela sensível ao toque correlaciona-se positivamente com a valência emocional; Feedback de alta intensidade em botões físicos diminui a valência emocional</t>
  </si>
  <si>
    <t>Oferece framework para entender como o feedback tátil afeta as emoções dos motoristas; Fornece parâmetros para design de feedback tátil que melhoram a experiência emocional</t>
  </si>
  <si>
    <t>Os resultados são para curto prazo; Faltam efeitos de longo prazo; Ausência de influências ambientais reais; Possível efeito de aprendizado nas tarefas repetitivas</t>
  </si>
  <si>
    <t>Lu, Li, Yuan, Liu, Ni &amp; Luo (2023)</t>
  </si>
  <si>
    <t>UDP-RT: A UDP-based reliable transmission scheme for power WAPS</t>
  </si>
  <si>
    <t>Propor um método eficiente para sistemas de proteção de área ampla de energia (WAPS) que garanta comunicação em tempo real e confiável em redes TCP/IP sob condições de congestionamento</t>
  </si>
  <si>
    <t>Esquema UDP-RT com mecanismos de correção de erros, detecção de erros, reenvio e retransmissão por timeout; Implementação de algoritmos em Go; Validação usando o simulador NS3</t>
  </si>
  <si>
    <t>Análise comparativa de atraso, taxa de perda de pacotes, largura de banda do canal e confiabilidade entre UDP-RT e TCP</t>
  </si>
  <si>
    <t>O UDP-RT melhorou a latência de inicialização em 62% e o tempo total de comunicação em 22%; Apesar do RTT ser 71% maior para QUIC, o UDP-RT transportou 3,5 vezes mais dados com throughput 7 vezes maior; 31% menos energia consumida pelo esquema proposto</t>
  </si>
  <si>
    <t>Nova solução que combina benefícios do UDP e TCP; Mecanismo de correção de erros baseado em TPC; Algoritmos para implementação do UDP-RT; Melhor desempenho em condições de congestionamento de rede</t>
  </si>
  <si>
    <t>Sobrecarga de protocolo maior comparada ao TCP; Desempenho inferior em condições de baixa largura de banda (abaixo de 32Kbps)</t>
  </si>
  <si>
    <t>Iqbal, Gohar, Karamti, Karamti, Koh &amp; Choi (2023)</t>
  </si>
  <si>
    <t>Use of QUIC for AMQP in IoT networks</t>
  </si>
  <si>
    <t>Avaliar o desempenho da integração do protocolo AMQP 1.0 com QUIC para reduzir a latência e melhorar a vida útil da bateria em dispositivos IoT</t>
  </si>
  <si>
    <t>Desenvolvimento de pacote qConn em Go; Containerização usando Docker; Testes em NS3 com vários cenários de rede</t>
  </si>
  <si>
    <t>Medição de indicadores de desempenho: Tempo Total de Comunicação, Latência de Inicialização, RTT, Throughput e Consumo de Energia</t>
  </si>
  <si>
    <t>O AMQP 1.0 sobre QUIC melhorou o Tempo Total de Comunicação em 22% e a Latência de Inicialização em 62%; Consumo de energia reduzido em 31%; QUIC tem melhor desempenho em condições de rede com perdas de pacotes</t>
  </si>
  <si>
    <t>Implementação de AMQP 1.0 com QUIC; Análise comparativa abrangente em diversos cenários de rede; Demonstração de economia de energia</t>
  </si>
  <si>
    <t>QUIC tem maior sobrecarga de protocolo; Desempenho inferior em larguras de banda de canal baixas (abaixo de 32Kbps); Uso de modelo linear/ideal de fonte de energia em vez de modelos não-lineares mais realistas</t>
  </si>
  <si>
    <t>Área de Aplicação</t>
  </si>
  <si>
    <t>Tipo de Dados</t>
  </si>
  <si>
    <t>Dataset Utilizado</t>
  </si>
  <si>
    <t>Link para o Código</t>
  </si>
  <si>
    <t>Frameworks / Ferramentas</t>
  </si>
  <si>
    <t>Controle de robôs móveis</t>
  </si>
  <si>
    <t>Dados experimentais de sensores de força, torque, deslocamento e aceleração</t>
  </si>
  <si>
    <t>Dados coletados em experimentos com veículo em escala reduzida</t>
  </si>
  <si>
    <t>Não fornecido</t>
  </si>
  <si>
    <t>MATLAB/Simulink 2021a e R versão 4.1.1; SolidWorks para design mecânico</t>
  </si>
  <si>
    <t>Ergonomia e controle de guindastes</t>
  </si>
  <si>
    <t>Dados de desempenho do operador (tempo de movimento, precisão, trajetória, suavidade) e medidas subjetivas (satisfação, utilidade, carga cognitiva)</t>
  </si>
  <si>
    <t>Dados coletados de 36 participantes operando um simulador de guindaste</t>
  </si>
  <si>
    <t>Simulador baseado em Ubuntu 20.04; GAZEBO para renderização; ROS noetic para comunicação; PureData para feedback auditivo; MATLAB 2022a para análise</t>
  </si>
  <si>
    <t>Monitoramento e controle de processos de usinagem</t>
  </si>
  <si>
    <t>Dados de sensores (força, torque, temperatura, vibração) e sinais de atuadores em ferramentas de usinagem</t>
  </si>
  <si>
    <t>Diversos conjuntos de dados experimentais de processos de usinagem</t>
  </si>
  <si>
    <t>Diversas ferramentas CAD/CAM; Sistemas embarcados; Redes industriais (OPC UA, MTConnect); Aprendizado de máquina para monitoramento</t>
  </si>
  <si>
    <t>Eletroforese para análise de DNA</t>
  </si>
  <si>
    <t>Dados de fluorescência de bandas de DNA; Medições térmicas; Análise de uniformidade de irradiação</t>
  </si>
  <si>
    <t>Dados experimentais de marcadores de DNA e genes de proteína quinase receptora (CERK1 e CEBiP)</t>
  </si>
  <si>
    <t>Repositório de código aberto mencionado mas URL não fornecido</t>
  </si>
  <si>
    <t>SOLIDWORKS (versão 2021) para design; Impressão 3D UV-curável; Análise de elementos finitos (FEM); ImageJ para processamento de imagens; Aplicativo "iSGE" para controle por smartphone</t>
  </si>
  <si>
    <t>Segurança de comunicação para veículos autônomos conectados (CAVs)</t>
  </si>
  <si>
    <t>Dados qualitativos e descritivos de protocolos de segurança e ataques</t>
  </si>
  <si>
    <t>Literatura selecionada publicada após 2015 sobre segurança de CAVs</t>
  </si>
  <si>
    <t>Não especificado</t>
  </si>
  <si>
    <t>Não especificados explicitamente; foco em frameworks conceituais como RACE, Blockchain, AC4AV e 5G-V2X</t>
  </si>
  <si>
    <t>Controle de velocidade de motor DC</t>
  </si>
  <si>
    <t>Dados experimentais de desempenho do motor, incluindo tempo de subida, tempo de estabilização, overshoot máximo</t>
  </si>
  <si>
    <t>Dados simulados de motor DC de 1.1 kW com parâmetros específicos (Ra = 0.4 Ω, La = 2.7 H, etc.)</t>
  </si>
  <si>
    <t>MATLAB/Simulink 2022b, função objetivo ITAE (Integral of Time multiplied Absolute Error)</t>
  </si>
  <si>
    <t>Eficiência energética de motores elétricos</t>
  </si>
  <si>
    <t>Dados experimentais de eficiência de motor e economia de energia, consumo de energia, fator de potência, velocidade</t>
  </si>
  <si>
    <t>Dados coletados de motor trifásico de 1100 W, 220 V, 3.9 A durante testes laboratoriais e 3 regimes de operação simulados</t>
  </si>
  <si>
    <t>MATLAB para redes neurais, FOMCON toolbox, Statgraphics Centurion XV, Analisador de qualidade de energia "Dranetz PowerVisa"</t>
  </si>
  <si>
    <t>Vigilância com UAVs, inspeção, busca e resgate, transporte, monitoramento de tráfego, cobertura de rede, mapeamento, agricultura</t>
  </si>
  <si>
    <t>Dados de sensores visuais (câmeras monoculares, estéreo, RGB-D), sensores não-visuais (LiDAR, radar, ultrassônico) e fusão de sensores para detecção e evitação de obstáculos</t>
  </si>
  <si>
    <t>Não especificado; revisão de literatura baseada em estudos anteriores e aplicações práticas</t>
  </si>
  <si>
    <t>Hardware: controladores de voo (Pixhawk, Arduino nano, DJI A3), computadores embarcados (Jetson Nano, Raspberry Pi, ODROID, Intel NUC); Configurações: controlador de voo com arquitetura híbrida</t>
  </si>
  <si>
    <t>Robótica macia, próteses, dispositivos de assistência, exoesqueletos, dispositivos hápticos, interação homem-robô, aplicações médicas, robótica subaquática</t>
  </si>
  <si>
    <t>Dados de sensoriamento de deformação, pressão, temperatura, força tátil, flexão, óptica e magnética de sensores integrados em SPAs</t>
  </si>
  <si>
    <t>Não especificado; revisão de literatura baseada em estudos anteriores</t>
  </si>
  <si>
    <t>Materiais: elastômeros, polímeros condutores, metais líquidos (EGaIn); Técnicas de fabricação: impressão 3D, microfabricação, moldagem, impressão por jato de tinta; Designs: atuadores McKibben, Pneu-Nets, baseados em material jamming</t>
  </si>
  <si>
    <t>Segurança automotiva / Redes veiculares</t>
  </si>
  <si>
    <t>Dados de tráfego CAN (Controller Area Network)</t>
  </si>
  <si>
    <t>1) Car-hacking dataset; 2) Car Hacking: Attack &amp; Defense Challenge 2020 dataset</t>
  </si>
  <si>
    <t>Python 3.10.12, Keras 2.15.0, Raspberry Pi 3 modelo B</t>
  </si>
  <si>
    <t>Engenharia subaquática / Controle de ROV</t>
  </si>
  <si>
    <t>Dados sensoriais de ambiente subaquático, incluindo renderização de água, simulação de poeira flutuante e motor físico</t>
  </si>
  <si>
    <t>Ambiente subaquático VR desenvolvido baseado no sistema oceânico Crest com áreas de corrente submarinas pré-projetadas</t>
  </si>
  <si>
    <t>https://drive.google.com/file/d/1PNwltmf9QbNdM5_Be4AOUnAvLP5xc2Bf/view?usp=share_link (link para demonstração do sistema de feedback)</t>
  </si>
  <si>
    <t>Unity 2020.4.25f, fone de ouvido HTC VIVE com rastreador ocular Tobii Pro, terno háptico bHaptics, Python Unity Socket</t>
  </si>
  <si>
    <t>Vigilância e monitoramento remoto, inspeções de segurança em grandes espaços</t>
  </si>
  <si>
    <t>Vídeo em tempo real, dados de telemetria de voo</t>
  </si>
  <si>
    <t>Não especifica uso de dataset; testes realizados em ambiente real</t>
  </si>
  <si>
    <t>ROS (Robot Operating System), Gazebo (simulador), OpenCV (visão computacional), QGroundControl (software para comunicação e controle do drone), Python</t>
  </si>
  <si>
    <t>Carros de corrida elétricos Formula Student, sistemas automotivos</t>
  </si>
  <si>
    <t>Dados de sensores automotivos (posição do volante, pedal acelerador, temperatura)</t>
  </si>
  <si>
    <t>Não utiliza dataset; implementação em veículo real</t>
  </si>
  <si>
    <t>FreeRTOS (sistema operacional em tempo real), Percepio Tracealyzer (para depuração e análise de desempenho), barramento CAN (Controller Area Network), Teensy 4.0 (microcontrolador)</t>
  </si>
  <si>
    <t>Eletrônica de potência, sistemas de energia DC/DC, microrredes DC</t>
  </si>
  <si>
    <t>Simulação de sistemas de potência, dados de conversor DC/DC com carga de potência constante</t>
  </si>
  <si>
    <t>Parâmetros de conversores Buck, Boost, Buck-Boost e non-inverting Buck-Boost com CPL de 10W</t>
  </si>
  <si>
    <t>MATLAB/Yalmip para implementação de otimização convexa, simulações em ambiente não mencionado</t>
  </si>
  <si>
    <t>Sistemas de acionamento de motores elétricos, controle de motores de indução</t>
  </si>
  <si>
    <t>Dados de simulação para motor de indução gaiola de esquilo, incluindo tensões, correntes e velocidade angular</t>
  </si>
  <si>
    <t>Parâmetros de motor de indução gaiola de esquilo de 3 HP conforme tabela 1 do artigo</t>
  </si>
  <si>
    <t>MATLAB/Simulink R2024a com solucionador Runge-Kutta e passo fixo de 1 × 10⁻⁶ s, VSC baseado em 84 pulsos</t>
  </si>
  <si>
    <t>Indústria de manufatura / Retificação robótica</t>
  </si>
  <si>
    <t>Dados de sensores de processo de retificação industrial, incluindo espessura de revestimento, características de desgaste de ferramenta e parâmetros de retificação</t>
  </si>
  <si>
    <t>Experimentos de retificação em 16 tarefas distintas, incluindo diferentes tipos de revestimento (TR-52, TR-48, TR-42A, TR-42D), espessuras de revestimento (0,35 mm a 2,2 mm) e tipos de ferramentas</t>
  </si>
  <si>
    <t>Não mencionado</t>
  </si>
  <si>
    <t>Algoritmos de aprendizado por reforço (PPOBE, PPO, TRPO), Meta-aprendizagem (MAML)</t>
  </si>
  <si>
    <t>Internet Industrial das Coisas (IIoT) / Indústria de manufatura</t>
  </si>
  <si>
    <t>Dados de sensores industriais, dados de comunicação entre dispositivos IoT, métricas de recursos de computação em borda</t>
  </si>
  <si>
    <t>Simulação configurada para um pequeno laboratório industrial de universidade com 100-150 DN (20-25 são DC), 10-20 EN, tarefas geradas entre 2-5 MB, poder de computação de DN e DC entre 5-10 MHz e 100-300 MHz, e de EN entre 3-4 GHz</t>
  </si>
  <si>
    <t>CoAP (Constrained Application Protocol), BLE (Bluetooth Low Energy), Zigbee, RFID, Locality Sensitive Hashing (LSH), Simulador Thingworx, Raspberry Pi 4 ou Node MCU</t>
  </si>
  <si>
    <t>Comunicações móveis; Streaming de mídia em tempo real; Veículos conectados</t>
  </si>
  <si>
    <t>Dados de comunicação em tempo real; Estatísticas de WebRTC; Logs de pacotes de rede</t>
  </si>
  <si>
    <t>Dados coletados em tempo real em duas áreas urbanas do Japão (Shinjuku e Shibuya); mensurações de comunicação WebRTC</t>
  </si>
  <si>
    <t>WebRTC; Golang (v1.21.1); Biblioteca gopacket (v1.1.20); GENEVE (Generic Network Virtualization Encapsulation); ROS (Robot Operating System)</t>
  </si>
  <si>
    <t>Robótica móvel todo-terreno; Sistemas de locomoção com esteiras</t>
  </si>
  <si>
    <t>Dados cinemáticos; Dados de força; Medições de ângulo de inclinação</t>
  </si>
  <si>
    <t>Medições manuais do robô real usando fita métrica e inclinômetro digital</t>
  </si>
  <si>
    <t>Algoritmo de região de confiança para solução de equações não-lineares; Ubuntu 20.04.5 LTS; ROS; Controlador de motor com encoder óptico de quadratura (1024 pulsos)</t>
  </si>
  <si>
    <t>Medical interventions, manufacturing, mining, rehabilitation, prosthetics, training</t>
  </si>
  <si>
    <t>Haptic feedback signals (tactile, vibrotactile, force, thermal)</t>
  </si>
  <si>
    <t>No specific dataset; literature review of multiple applications</t>
  </si>
  <si>
    <t>Not provided</t>
  </si>
  <si>
    <t>Various software discussed including FEA modeling, deep neural networks, Mel Frequency Cepstral Coefficient (MFCC), Dynamic Time Warping (DTW), Hidden Markov Models</t>
  </si>
  <si>
    <t>Medical robotics, surgical assistance, nasotracheal intubation</t>
  </si>
  <si>
    <t>Visual image data from endoscope, joystick control signals</t>
  </si>
  <si>
    <t>Custom experimental data from motion simulator and phantom tests</t>
  </si>
  <si>
    <t>C++ implementation on Windows; 2-DOF motion simulator; joystick (Logitech Extreme 3D Pro); robotic support arm (RSA); endoscope steering unit (ESU)</t>
  </si>
  <si>
    <t>Robótica - Teleoperação de Manipuladores Móveis</t>
  </si>
  <si>
    <t>Dados de sensores e atuadores em tempo real (posição, velocidade, feedback de força)</t>
  </si>
  <si>
    <t>Dados coletados durante experimentos com Phantom Omni e KUKA-Youbot</t>
  </si>
  <si>
    <t>Não disponibilizado</t>
  </si>
  <si>
    <t>- Simulação MATLAB-Simulink&lt;br&gt;- CoppeliaSim (Simulador de robô)&lt;br&gt;- KUKA-Youbot (manipulador móvel)&lt;br&gt;- Phantom Omni (dispositivo háptico)</t>
  </si>
  <si>
    <t>Monitoramento Ambiental - Qualidade da Água</t>
  </si>
  <si>
    <t>Dados de sensores de qualidade da água, GPS, profundidade e amostras físicas de água</t>
  </si>
  <si>
    <t>Dados coletados em lago na La Trobe University, Melbourne</t>
  </si>
  <si>
    <t>http://doi.org/10.17605/OSF.IO/N3F4X</t>
  </si>
  <si>
    <t>- Arduino e ESP32&lt;br&gt;- Plataforma barco RC T888&lt;br&gt;- Sensores Atlas Scientific (pH, DO, condutividade, ORP, temperatura)&lt;br&gt;- Ping2 sonar (profundidade)&lt;br&gt;- SimpleRTK2B (GNSS)&lt;br&gt;- Atuadores lineares para coleta de amostras&lt;br&gt;- Interface Windows para visualização</t>
  </si>
  <si>
    <t>Controle de sistemas, engenharia de controle, otimização de controle de motores DC</t>
  </si>
  <si>
    <t>Dados de simulação de resposta de motor DC</t>
  </si>
  <si>
    <t>Parâmetros do motor DC (B = 0.0022 N·m·s·rad⁻¹, J = 0.0004 kg·m², Kb = 0.05 V·s·rad⁻¹, Kt = 0.015 N·m·A⁻¹, La = 2.7 H, Ra = 0.4 Ω)</t>
  </si>
  <si>
    <t>MATLAB/Simulink R2019a, Fuzzy Logic Designer</t>
  </si>
  <si>
    <t>Segurança de ciclistas, design de interfaces, interação humano-computador</t>
  </si>
  <si>
    <t>Dados experimentais de tempo de reação e precisão de reconhecimento</t>
  </si>
  <si>
    <t>Dados de áudio binaural gravados em diferentes vias (Rota Nacional 1 com LAeq de 76.5 dB e via secundária com LAeq de 58.3 dB)</t>
  </si>
  <si>
    <t>LabVIEW, Arduino Uno, sistema Blync (Kinbona Limited), alto-falantes Yamaha HS8, medidor de nível sonoro padrão</t>
  </si>
  <si>
    <t>Robótica macia, atuadores flexíveis, sensores vestíveis</t>
  </si>
  <si>
    <t>Dados de resistência elétrica x deformação, ângulo central do atuador</t>
  </si>
  <si>
    <t>Dados experimentais coletados de testes com 27 configurações diferentes de sensores</t>
  </si>
  <si>
    <t>Impressora 3D TL-D3 Pro Dual Extruder, MATLAB Simulink, controlador PI com feedback de saída</t>
  </si>
  <si>
    <t>Veículos elétricos autônomos, sistemas de transporte inteligente</t>
  </si>
  <si>
    <t>Dados de LIDAR, ângulo de direção, velocidade, PWM</t>
  </si>
  <si>
    <t>Dados experimentais coletados durante testes em campus</t>
  </si>
  <si>
    <t>Raspberry Pi 5, sensor LIDAR-Lite v3HP, motor worm gear, controlador motor MD25HV, atuador BLDC 60V/2000W</t>
  </si>
  <si>
    <t>Sistemas de vigilância de segurança, monitoramento industrial</t>
  </si>
  <si>
    <t>Imagens e vídeo para reconhecimento facial; Dados de sensores (PIR); Dados de comunicação IoT</t>
  </si>
  <si>
    <t>Dataset próprio com 30 imagens faciais armazenadas para treinamento e teste</t>
  </si>
  <si>
    <t>Python; OpenCV; VNC (Virtual Network Computing); HTML e Flask para interface web; Fritzing para design de circuito elétrico; Raspberry Pi 4 Model B; Protocolo RTP (Real-time Transfer Protocol)</t>
  </si>
  <si>
    <t>Sistemas de controle de motores, aplicações industriais, robótica</t>
  </si>
  <si>
    <t>Séries temporais numéricas de correntes no eixo d-q e velocidade angular; Dados de temperatura e torque de carga</t>
  </si>
  <si>
    <t>Não utiliza dataset externo (baseado em modelo matemático)</t>
  </si>
  <si>
    <t>Matlab/Simulink (presumido para simulações numéricas); Arduino Mega 2560; Algoritmos genéticos para otimização de parâmetros; Osciloscópio digital para visualização experimental</t>
  </si>
  <si>
    <t>Redes UAV / Gêmeos Digitais</t>
  </si>
  <si>
    <t>Dados de telemetria em tempo real (coordenadas, ângulos, velocidades)</t>
  </si>
  <si>
    <t>Dados simulados gerados pelo sistema Webots</t>
  </si>
  <si>
    <t>MQTT, Mosquitto (broker MQTT v2.0.18), Open Network Operating System (ONOS), Webots R2023a</t>
  </si>
  <si>
    <t>Controle de Robôs / Aprendizado por Reforço</t>
  </si>
  <si>
    <t>Estados e ações de robôs (coordenadas, ângulos, velocidades)</t>
  </si>
  <si>
    <t>Ambientes Mujoco (Reacher, Pusher) e Robotics (FetchReach, FetchPush, FetchPickAndPlace, FetchSlide)</t>
  </si>
  <si>
    <t>https://github.com/HAS code (Original data)</t>
  </si>
  <si>
    <t>Soft Actor-Critic (SAC), OpenAI Gym, Mujoco, Python, Linux</t>
  </si>
  <si>
    <t>Navegação robótica, IoT, Robôs autônomos</t>
  </si>
  <si>
    <t>Dados de odometria visual, imagens monoculares, dados de odometria de roda</t>
  </si>
  <si>
    <t>Dataset personalizado criado com objetos colocados em distâncias fixas (0,6m, 0,9m, 1,2m, 1,5m, 1,8m, 2,1m e 2,4m); 10 imagens capturadas para cada distância</t>
  </si>
  <si>
    <t>Raspberry Pi (2 A+ a 4B), TensorFlow Lite, MiDaS v2.0, YOLO v7, Depth Anything, Algoritmo A* modificado, ns-3 (simulador)</t>
  </si>
  <si>
    <t>Redes IoT, Gerenciamento de congestionamento TCP</t>
  </si>
  <si>
    <t>Dados de transferência TCP, estatísticas de ocupação de buffer, tempos de transferência de arquivo</t>
  </si>
  <si>
    <t>Não especificado explicitamente, ambiente simulado com fluxos TCP entre clientes e servidores</t>
  </si>
  <si>
    <t>ns-3 (simulador de rede), RED, ARED, EWA, modelo de Zhang para TCP</t>
  </si>
  <si>
    <t>Monitoramento e controle de sistemas IoT</t>
  </si>
  <si>
    <t>Medições de latência de rede e tempos de processamento em diferentes camadas da arquitetura IoT</t>
  </si>
  <si>
    <t>Cenário de monitoramento de armazém IoT com diferentes cargas de sistema (número de dispositivos IoT)</t>
  </si>
  <si>
    <t>Simulador de rede NS-3, EdgeCloudSim</t>
  </si>
  <si>
    <t>Controle de formação de robôs móveis</t>
  </si>
  <si>
    <t>Dados de posição, orientação e velocidades de robôs móveis em formação líder-seguidor</t>
  </si>
  <si>
    <t>Simulação de cenário de formação com quatro robôs (um líder e três seguidores)</t>
  </si>
  <si>
    <t>Expansão da série de Fourier, controlador baseado em aprendizado por reforço com estratégia ator-crítico</t>
  </si>
  <si>
    <t>Agricultura/Robótica</t>
  </si>
  <si>
    <t>Dados de controle de trajetória de robôs em estufas</t>
  </si>
  <si>
    <t>Modelo 2D de uma estufa experimental na Universidade de Almería para obtenção de coordenadas</t>
  </si>
  <si>
    <t>Simulink Matlab (2012); Protótipo AGRICOBIOT II</t>
  </si>
  <si>
    <t>Internet das Coisas (IoT) / Redes de Sensores Sem Fio</t>
  </si>
  <si>
    <t>Métricas de desempenho de dispositivos IoT de baixa potência</t>
  </si>
  <si>
    <t>Não usa dataset específico; avaliações em ambiente real</t>
  </si>
  <si>
    <t>GitHub: https://github.com/aiotsystems/aiot_play_fw_zephyr e https://gist.github.com/fabiangraf96/4c213cd340612aa5382783e05b97bd92</t>
  </si>
  <si>
    <t>Zephyr RTOS; SmartMesh IP; Memfault; CBOR; Placas nRF52840-DK e AIOT Play com chips LTC5800; TIG stack (Telegraf, InfluxDB, Grafana)</t>
  </si>
  <si>
    <t>IoT Industrial, Comunicações Robóticas, Aplicações Automotivas (V2X)</t>
  </si>
  <si>
    <t>Dados de latência, confiabilidade e perda de pacotes em redes TCP e UDP</t>
  </si>
  <si>
    <t>Não utiliza datasets, mas medições em testbed real com Raspberry Pi, roteadores Wi-Fi e switches Ethernet</t>
  </si>
  <si>
    <t>Não especificado diretamente, mas menciona uso de Eclipse Zenoh Python API e Eclipse Zenoh Dissector para Wireshark</t>
  </si>
  <si>
    <t>Eclipse Zenoh (v0.10.0-rc/v0.10.1-rc), Eclipse Paho (MQTT), Eclipse Mosquitto, Wireshark 4.0.10, Linux (Raspbian GNU/Linux 11)</t>
  </si>
  <si>
    <t>Robótica baseada em FPGA, Processamento de Visão em Robótica</t>
  </si>
  <si>
    <t>Imagens de câmera, dados de controle de robô</t>
  </si>
  <si>
    <t>Não utiliza datasets pré-definidos, mas simulações em ambiente Gazebo com robô TurtleBot2</t>
  </si>
  <si>
    <t>https://github.com/JdeRobot/FPGA-robotics (vários repositórios específicos incluindo: /sim_fpga, /blocks, /paper-FPGA_Robotics-sim-FPGA, /examples/poc)</t>
  </si>
  <si>
    <t>Verilator (simulação FPGA), ROS (middleware de robótica), Gazebo-11 (simulador 3D), OpenCV, GTKWave, SDL2, GCC (compilação C++)</t>
  </si>
  <si>
    <t>Controle de motor DC</t>
  </si>
  <si>
    <t>Dados de tempo-real de resposta ao degrau e controle de velocidade</t>
  </si>
  <si>
    <t>Dados experimentais coletados de motor DC real com encoder de 96 pulsos por revolução</t>
  </si>
  <si>
    <t>Não disponível</t>
  </si>
  <si>
    <t>MATLAB/Simulink para simulações; Algoritmo PSO para estimação de parâmetros; Controlador PI</t>
  </si>
  <si>
    <t>Redes Definidas por Software (SDNs)</t>
  </si>
  <si>
    <t>Dados de comunicação entre controlador e switches</t>
  </si>
  <si>
    <t>Dados de testbed personalizado com switches Arista 7050QX e 7050CX3</t>
  </si>
  <si>
    <t>https://github.com/SIOTLAB/quicSDN</t>
  </si>
  <si>
    <t>RYU Controller; Open vSwitch (OVS); OVSDB; ngtcp2 para implementação QUIC; Linguagens: C, C++ e Python; Libevent para I/O assíncrono</t>
  </si>
  <si>
    <t>Diagnóstico médico (Oftalmologia)</t>
  </si>
  <si>
    <t>Imagens de fundo de retina</t>
  </si>
  <si>
    <t>ODIR (Ocular Disease Intelligence Recognition) e RFMiD (Retinal Fundus Multi-Disease Image Dataset) - 4303 imagens em 4 classes</t>
  </si>
  <si>
    <t>TensorFlow Lite, Raspberry Pi 4 Model B, transformada wavelet biortogonal (bior1.3)</t>
  </si>
  <si>
    <t>Diagnóstico médico (Cardiologia)</t>
  </si>
  <si>
    <t>Sinais de ECG</t>
  </si>
  <si>
    <t>PhysioNet PTB Diagnostic ECG Database e dataset proprietário NSIR (Normal and Interference-Affected Records)</t>
  </si>
  <si>
    <t>Dataset NSIR disponível em: https://github.com/kharzi-wissem/ReadDryEcgData.git</t>
  </si>
  <si>
    <t>TensorFlow, Keras, PyWavelets, STM32F103C8T6, AD8232, NVIDIA Jetson Nano, CUDA, TensorRT</t>
  </si>
  <si>
    <t>Agricultura / Robótica Agrícola</t>
  </si>
  <si>
    <t>Imagens RGB de câmera monocular; dados de sensores LiDAR; dados de posicionamento GNSS/IMU</t>
  </si>
  <si>
    <t>4.366 imagens de humanos do dataset MS COCO; 1.430 imagens de tratores e humanos coletadas pelos autores; aumentado para 5.400 imagens com técnicas de aumento de dados</t>
  </si>
  <si>
    <t>PyTorch (YOLOv5s); Darknet (YOLOv3); Resnet50 (Faster R-CNN); RTK-GPS para posicionamento; Trimble Alloy GNSS; VectorNav VN100 IMU</t>
  </si>
  <si>
    <t>Inspeção e Manutenção de Plataformas Offshore</t>
  </si>
  <si>
    <t>Dados para análise de força magnética; parâmetros estruturais</t>
  </si>
  <si>
    <t>Não especificado; testes realizados em estruturas cilíndricas com diâmetros de 280-1100mm e espessura de 5mm</t>
  </si>
  <si>
    <t>Simulações de elementos finitos para análise magnética; sistemas de jato de água de alta pressão (50 MPa, 22 L/min); jato de cavitação (20 MPa, 67 L/min); ímãs permanentes NdFeB N52</t>
  </si>
  <si>
    <t>Sistemas Embarcados / Processamento Paralelo</t>
  </si>
  <si>
    <t>Tarefas em tempo real em sistemas many-core</t>
  </si>
  <si>
    <t>Epiphany com 16 cores em malha 2D 4×4</t>
  </si>
  <si>
    <t>MAST toolset; M2OS-mc (sistema operacional de tempo real para many-core); Epiphany III processor</t>
  </si>
  <si>
    <t>Manutenção de Estradas / Inspeção Automatizada</t>
  </si>
  <si>
    <t>Imagens de rachaduras em pavimentos</t>
  </si>
  <si>
    <t>DeepCrack, CFD, S2TCrack</t>
  </si>
  <si>
    <t>PyTorch 1.8; ROS Melodic; Jetpack 4.4; Linux Ubuntu 18.04; Nvidia Jetson AGX Xavier; Intel RealSense D435i RGB-D camera</t>
  </si>
  <si>
    <t>Agricultura inteligente e agricultura de precisão</t>
  </si>
  <si>
    <t>Imagens 2D/3D, nuvens de pontos, dados de profundidade</t>
  </si>
  <si>
    <t>Não especificado (revisão de literatura)</t>
  </si>
  <si>
    <t>LiDAR, câmeras RGB-D, sensores estéreo, scanners a laser, sistemas de fusão de sensores, redes neurais para reconstrução 3D (CNN, RNN, GCN, NeRF)</t>
  </si>
  <si>
    <t>Controle de máquinas-ferramenta e robótica industrial</t>
  </si>
  <si>
    <t>Dados de força/torque, posição e controle</t>
  </si>
  <si>
    <t>Dados experimentais coletados em máquina-ferramenta hexapod Felix I</t>
  </si>
  <si>
    <t>Beckhoff TwinCAT 3.1, sensores de força integrados à estrutura, controlador comercial numérico, programação em código G, interfaces HLI e "man-in-the-middle"</t>
  </si>
  <si>
    <t>Robótica de exploração planetária, Robôs com pernas e rodas</t>
  </si>
  <si>
    <t>Dados de simulação FEM, dados experimentais de teste de protótipo</t>
  </si>
  <si>
    <t>Não especificado, dados coletados dos experimentos próprios</t>
  </si>
  <si>
    <t>Software de análise de elementos finitos, ferramentas de otimização multi-objetivo, protótipo físico do rover TAWL</t>
  </si>
  <si>
    <t>Cirurgia endoscópica, Cirurgia robótica assistida, Cirurgia endoscópica transluminal por orifícios naturais (NOTES)</t>
  </si>
  <si>
    <t>Dados de comprimento de onda FBG em tempo real, dados de força e orientação</t>
  </si>
  <si>
    <t>Dados coletados de testes em modelo brônquico e testes em pulmões de porco in vitro</t>
  </si>
  <si>
    <t>Desmodulador FBG (M4151-16-25), sensor de força Taiyo (DY LY-108 5 N), placa de aquisição de dados NI (USB-6001), estágio linear motorizado (NSS120-S450), estágio rotativo (REG25), interface de fusão visual-tátil em tempo real</t>
  </si>
  <si>
    <t>Interface Homem-Máquina (HMI) em veículos; Ergonomia industrial</t>
  </si>
  <si>
    <t>Dados subjetivos de emoção (valência, excitação, dominância); Dados de desempenho em tarefas</t>
  </si>
  <si>
    <t>Dados coletados de 42 participantes usando o questionário Self-Assessment Manikin (SAM)</t>
  </si>
  <si>
    <t>Simulador de condução com tela de 65 polegadas; Código de produtos turbo (TPC) para análise de erro; Software SPSS 27.0</t>
  </si>
  <si>
    <t>Comunicações de sistemas de proteção de área ampla de energia (WAPS)</t>
  </si>
  <si>
    <t>Dados de mensagens de sistemas de proteção; Dados de medição de desempenho de rede</t>
  </si>
  <si>
    <t>Dados simulados em ambientes de teste NS3</t>
  </si>
  <si>
    <t>Linguagem de programação Go; Simulador NS3; Códigos de produto turbo (TPC); Docker para containerização</t>
  </si>
  <si>
    <t>Redes IoT; Protocolos de mensagens; Comunicação de dispositivos</t>
  </si>
  <si>
    <t>Dados de mensagens AMQP; Medições de desempenho de rede e consumo de energia</t>
  </si>
  <si>
    <t>Dados coletados em simulações com NS3 sobre diferentes cenários de rede</t>
  </si>
  <si>
    <t>Pacotes AMQP 1.0 [29] e QUIC [30] em Go (URLs específicas não fornecidas)</t>
  </si>
  <si>
    <t>Linguagem de programação Go; Docker; Simulador NS3; Ferramenta tc para alteração de parâmetros de rede; Módulo de energia NS3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</si>
</sst>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FFFFFF"/>
      <name val="Roboto"/>
    </font>
    <font>
      <sz val="10.0"/>
      <color rgb="FFFFFFFF"/>
      <name val="Roboto"/>
    </font>
    <font>
      <color rgb="FF000000"/>
      <name val="Roboto"/>
    </font>
    <font>
      <sz val="12.0"/>
      <color rgb="FF000000"/>
      <name val="Roboto"/>
    </font>
    <font>
      <u/>
      <sz val="12.0"/>
      <color rgb="FF000000"/>
      <name val="Roboto"/>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vertical="center" wrapText="1"/>
    </xf>
    <xf borderId="0" fillId="2" fontId="3" numFmtId="0" xfId="0" applyAlignment="1" applyFill="1" applyFont="1">
      <alignment readingOrder="0" shrinkToFit="0" vertical="center" wrapText="1"/>
    </xf>
    <xf borderId="0" fillId="2" fontId="4" numFmtId="0" xfId="0" applyAlignment="1" applyFont="1">
      <alignment horizontal="left" readingOrder="0" shrinkToFit="0" vertical="center" wrapText="1"/>
    </xf>
    <xf borderId="0" fillId="2" fontId="4" numFmtId="0" xfId="0" applyAlignment="1" applyFont="1">
      <alignment readingOrder="0" shrinkToFit="0" vertical="center" wrapText="1"/>
    </xf>
    <xf borderId="0" fillId="0" fontId="3" numFmtId="0" xfId="0" applyAlignment="1" applyFont="1">
      <alignment shrinkToFit="0" vertical="center" wrapText="1"/>
    </xf>
    <xf borderId="0" fillId="2" fontId="3"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2"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racterísticas Científicas e A-style">
      <tableStyleElement dxfId="1" type="headerRow"/>
      <tableStyleElement dxfId="2" type="firstRowStripe"/>
      <tableStyleElement dxfId="3" type="secondRowStripe"/>
      <tableStyleElement dxfId="4" size="0" type="wholeTable"/>
    </tableStyle>
    <tableStyle count="4" pivot="0" name="Recursos e Aplicações Prátic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55" displayName="Tabela_1" name="Tabela_1" id="1">
  <autoFilter ref="$A$1:$J$55"/>
  <tableColumns count="10">
    <tableColumn name="Nº" id="1"/>
    <tableColumn name="Autores (Ano)" id="2"/>
    <tableColumn name="Título" id="3"/>
    <tableColumn name="Objetivo do Estudo" id="4"/>
    <tableColumn name="Metodologia / Arquitetura" id="5"/>
    <tableColumn name="Análise Estatística" id="6"/>
    <tableColumn name="Principais Resultados" id="7"/>
    <tableColumn name="Contribuições" id="8"/>
    <tableColumn name="Limitações / Desvantagens" id="9"/>
    <tableColumn name="Tópico" id="10"/>
  </tableColumns>
  <tableStyleInfo name="Características Científicas e A-style" showColumnStripes="0" showFirstColumn="1" showLastColumn="1" showRowStripes="1"/>
</table>
</file>

<file path=xl/tables/table2.xml><?xml version="1.0" encoding="utf-8"?>
<table xmlns="http://schemas.openxmlformats.org/spreadsheetml/2006/main" ref="A1:F55" displayName="Tabela_2" name="Tabela_2" id="2">
  <tableColumns count="6">
    <tableColumn name="Nº" id="1"/>
    <tableColumn name="Área de Aplicação" id="2"/>
    <tableColumn name="Tipo de Dados" id="3"/>
    <tableColumn name="Dataset Utilizado" id="4"/>
    <tableColumn name="Link para o Código" id="5"/>
    <tableColumn name="Frameworks / Ferramentas" id="6"/>
  </tableColumns>
  <tableStyleInfo name="Recursos e Aplicações Prát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doi.org/10.17605/OSF.IO/N3F4X" TargetMode="External"/><Relationship Id="rId2" Type="http://schemas.openxmlformats.org/officeDocument/2006/relationships/hyperlink" Target="https://github.com/SIOTLAB/quicSDN"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28.5"/>
    <col customWidth="1" min="3" max="3" width="33.75"/>
    <col customWidth="1" min="4" max="4" width="50.13"/>
    <col customWidth="1" min="5" max="5" width="55.63"/>
    <col customWidth="1" min="6" max="6" width="36.0"/>
    <col customWidth="1" min="7" max="7" width="48.88"/>
    <col customWidth="1" min="8" max="8" width="60.13"/>
    <col customWidth="1" min="9" max="9" width="52.25"/>
    <col customWidth="1" min="10" max="10" width="29.88"/>
  </cols>
  <sheetData>
    <row r="1">
      <c r="A1" s="1" t="s">
        <v>0</v>
      </c>
      <c r="B1" s="1" t="s">
        <v>1</v>
      </c>
      <c r="C1" s="1" t="s">
        <v>2</v>
      </c>
      <c r="D1" s="1" t="s">
        <v>3</v>
      </c>
      <c r="E1" s="1" t="s">
        <v>4</v>
      </c>
      <c r="F1" s="1" t="s">
        <v>5</v>
      </c>
      <c r="G1" s="1" t="s">
        <v>6</v>
      </c>
      <c r="H1" s="1" t="s">
        <v>7</v>
      </c>
      <c r="I1" s="2" t="s">
        <v>8</v>
      </c>
      <c r="J1" s="3" t="s">
        <v>9</v>
      </c>
      <c r="K1" s="4"/>
      <c r="L1" s="4"/>
      <c r="M1" s="4"/>
      <c r="N1" s="4"/>
      <c r="O1" s="4"/>
      <c r="P1" s="4"/>
      <c r="Q1" s="4"/>
      <c r="R1" s="4"/>
      <c r="S1" s="4"/>
      <c r="T1" s="4"/>
      <c r="U1" s="4"/>
      <c r="V1" s="4"/>
      <c r="W1" s="4"/>
      <c r="X1" s="4"/>
      <c r="Y1" s="4"/>
      <c r="Z1" s="4"/>
    </row>
    <row r="2">
      <c r="A2" s="5">
        <f>1</f>
        <v>1</v>
      </c>
      <c r="B2" s="6" t="s">
        <v>10</v>
      </c>
      <c r="C2" s="6" t="s">
        <v>11</v>
      </c>
      <c r="D2" s="6" t="s">
        <v>12</v>
      </c>
      <c r="E2" s="6" t="s">
        <v>13</v>
      </c>
      <c r="F2" s="6" t="s">
        <v>14</v>
      </c>
      <c r="G2" s="6" t="s">
        <v>15</v>
      </c>
      <c r="H2" s="6" t="s">
        <v>16</v>
      </c>
      <c r="I2" s="6" t="s">
        <v>17</v>
      </c>
      <c r="J2" s="7" t="s">
        <v>18</v>
      </c>
      <c r="K2" s="8"/>
      <c r="L2" s="8"/>
      <c r="M2" s="8"/>
      <c r="N2" s="8"/>
      <c r="O2" s="8"/>
      <c r="P2" s="8"/>
      <c r="Q2" s="8"/>
      <c r="R2" s="8"/>
      <c r="S2" s="8"/>
      <c r="T2" s="8"/>
      <c r="U2" s="8"/>
      <c r="V2" s="8"/>
      <c r="W2" s="8"/>
      <c r="X2" s="8"/>
      <c r="Y2" s="8"/>
      <c r="Z2" s="8"/>
    </row>
    <row r="3">
      <c r="A3" s="9">
        <f t="shared" ref="A3:A55" si="1">SUM(A2+1)</f>
        <v>2</v>
      </c>
      <c r="B3" s="6" t="s">
        <v>19</v>
      </c>
      <c r="C3" s="6" t="s">
        <v>20</v>
      </c>
      <c r="D3" s="6" t="s">
        <v>21</v>
      </c>
      <c r="E3" s="6" t="s">
        <v>22</v>
      </c>
      <c r="F3" s="6" t="s">
        <v>23</v>
      </c>
      <c r="G3" s="6" t="s">
        <v>24</v>
      </c>
      <c r="H3" s="6" t="s">
        <v>25</v>
      </c>
      <c r="I3" s="6" t="s">
        <v>26</v>
      </c>
      <c r="J3" s="7" t="s">
        <v>27</v>
      </c>
      <c r="K3" s="8"/>
      <c r="L3" s="8"/>
      <c r="M3" s="8"/>
      <c r="N3" s="8"/>
      <c r="O3" s="8"/>
      <c r="P3" s="8"/>
      <c r="Q3" s="8"/>
      <c r="R3" s="8"/>
      <c r="S3" s="8"/>
      <c r="T3" s="8"/>
      <c r="U3" s="8"/>
      <c r="V3" s="8"/>
      <c r="W3" s="8"/>
      <c r="X3" s="8"/>
      <c r="Y3" s="8"/>
      <c r="Z3" s="8"/>
    </row>
    <row r="4">
      <c r="A4" s="10">
        <f t="shared" si="1"/>
        <v>3</v>
      </c>
      <c r="B4" s="11" t="s">
        <v>28</v>
      </c>
      <c r="C4" s="11" t="s">
        <v>29</v>
      </c>
      <c r="D4" s="11" t="s">
        <v>30</v>
      </c>
      <c r="E4" s="11" t="s">
        <v>31</v>
      </c>
      <c r="F4" s="11" t="s">
        <v>32</v>
      </c>
      <c r="G4" s="11" t="s">
        <v>33</v>
      </c>
      <c r="H4" s="11" t="s">
        <v>34</v>
      </c>
      <c r="I4" s="11" t="s">
        <v>35</v>
      </c>
      <c r="J4" s="12"/>
      <c r="K4" s="8"/>
      <c r="L4" s="8"/>
      <c r="M4" s="8"/>
      <c r="N4" s="8"/>
      <c r="O4" s="8"/>
      <c r="P4" s="8"/>
      <c r="Q4" s="8"/>
      <c r="R4" s="8"/>
      <c r="S4" s="8"/>
      <c r="T4" s="8"/>
      <c r="U4" s="8"/>
      <c r="V4" s="8"/>
      <c r="W4" s="8"/>
      <c r="X4" s="8"/>
      <c r="Y4" s="8"/>
      <c r="Z4" s="8"/>
    </row>
    <row r="5">
      <c r="A5" s="10">
        <f t="shared" si="1"/>
        <v>4</v>
      </c>
      <c r="B5" s="11" t="s">
        <v>36</v>
      </c>
      <c r="C5" s="11" t="s">
        <v>37</v>
      </c>
      <c r="D5" s="11" t="s">
        <v>38</v>
      </c>
      <c r="E5" s="11" t="s">
        <v>39</v>
      </c>
      <c r="F5" s="11" t="s">
        <v>40</v>
      </c>
      <c r="G5" s="11" t="s">
        <v>41</v>
      </c>
      <c r="H5" s="11" t="s">
        <v>42</v>
      </c>
      <c r="I5" s="11" t="s">
        <v>43</v>
      </c>
      <c r="J5" s="12"/>
      <c r="K5" s="8"/>
      <c r="L5" s="8"/>
      <c r="M5" s="8"/>
      <c r="N5" s="8"/>
      <c r="O5" s="8"/>
      <c r="P5" s="8"/>
      <c r="Q5" s="8"/>
      <c r="R5" s="8"/>
      <c r="S5" s="8"/>
      <c r="T5" s="8"/>
      <c r="U5" s="8"/>
      <c r="V5" s="8"/>
      <c r="W5" s="8"/>
      <c r="X5" s="8"/>
      <c r="Y5" s="8"/>
      <c r="Z5" s="8"/>
    </row>
    <row r="6">
      <c r="A6" s="10">
        <f t="shared" si="1"/>
        <v>5</v>
      </c>
      <c r="B6" s="11" t="s">
        <v>44</v>
      </c>
      <c r="C6" s="11" t="s">
        <v>45</v>
      </c>
      <c r="D6" s="11" t="s">
        <v>46</v>
      </c>
      <c r="E6" s="11" t="s">
        <v>47</v>
      </c>
      <c r="F6" s="11" t="s">
        <v>48</v>
      </c>
      <c r="G6" s="11" t="s">
        <v>49</v>
      </c>
      <c r="H6" s="11" t="s">
        <v>50</v>
      </c>
      <c r="I6" s="11" t="s">
        <v>51</v>
      </c>
      <c r="J6" s="12"/>
      <c r="K6" s="8"/>
      <c r="L6" s="8"/>
      <c r="M6" s="8"/>
      <c r="N6" s="8"/>
      <c r="O6" s="8"/>
      <c r="P6" s="8"/>
      <c r="Q6" s="8"/>
      <c r="R6" s="8"/>
      <c r="S6" s="8"/>
      <c r="T6" s="8"/>
      <c r="U6" s="8"/>
      <c r="V6" s="8"/>
      <c r="W6" s="8"/>
      <c r="X6" s="8"/>
      <c r="Y6" s="8"/>
      <c r="Z6" s="8"/>
    </row>
    <row r="7">
      <c r="A7" s="9">
        <f t="shared" si="1"/>
        <v>6</v>
      </c>
      <c r="B7" s="6" t="s">
        <v>52</v>
      </c>
      <c r="C7" s="6" t="s">
        <v>53</v>
      </c>
      <c r="D7" s="6" t="s">
        <v>54</v>
      </c>
      <c r="E7" s="6" t="s">
        <v>55</v>
      </c>
      <c r="F7" s="6" t="s">
        <v>56</v>
      </c>
      <c r="G7" s="6" t="s">
        <v>57</v>
      </c>
      <c r="H7" s="6" t="s">
        <v>58</v>
      </c>
      <c r="I7" s="6" t="s">
        <v>59</v>
      </c>
      <c r="J7" s="7" t="s">
        <v>60</v>
      </c>
      <c r="K7" s="8"/>
      <c r="L7" s="8"/>
      <c r="M7" s="8"/>
      <c r="N7" s="8"/>
      <c r="O7" s="8"/>
      <c r="P7" s="8"/>
      <c r="Q7" s="8"/>
      <c r="R7" s="8"/>
      <c r="S7" s="8"/>
      <c r="T7" s="8"/>
      <c r="U7" s="8"/>
      <c r="V7" s="8"/>
      <c r="W7" s="8"/>
      <c r="X7" s="8"/>
      <c r="Y7" s="8"/>
      <c r="Z7" s="8"/>
    </row>
    <row r="8">
      <c r="A8" s="9">
        <f t="shared" si="1"/>
        <v>7</v>
      </c>
      <c r="B8" s="6" t="s">
        <v>61</v>
      </c>
      <c r="C8" s="6" t="s">
        <v>62</v>
      </c>
      <c r="D8" s="6" t="s">
        <v>63</v>
      </c>
      <c r="E8" s="6" t="s">
        <v>64</v>
      </c>
      <c r="F8" s="6" t="s">
        <v>65</v>
      </c>
      <c r="G8" s="6" t="s">
        <v>66</v>
      </c>
      <c r="H8" s="6" t="s">
        <v>67</v>
      </c>
      <c r="I8" s="6" t="s">
        <v>68</v>
      </c>
      <c r="J8" s="7" t="s">
        <v>60</v>
      </c>
      <c r="K8" s="8"/>
      <c r="L8" s="8"/>
      <c r="M8" s="8"/>
      <c r="N8" s="8"/>
      <c r="O8" s="8"/>
      <c r="P8" s="8"/>
      <c r="Q8" s="8"/>
      <c r="R8" s="8"/>
      <c r="S8" s="8"/>
      <c r="T8" s="8"/>
      <c r="U8" s="8"/>
      <c r="V8" s="8"/>
      <c r="W8" s="8"/>
      <c r="X8" s="8"/>
      <c r="Y8" s="8"/>
      <c r="Z8" s="8"/>
    </row>
    <row r="9">
      <c r="A9" s="10">
        <f t="shared" si="1"/>
        <v>8</v>
      </c>
      <c r="B9" s="11" t="s">
        <v>69</v>
      </c>
      <c r="C9" s="11" t="s">
        <v>70</v>
      </c>
      <c r="D9" s="11" t="s">
        <v>71</v>
      </c>
      <c r="E9" s="11" t="s">
        <v>72</v>
      </c>
      <c r="F9" s="11" t="s">
        <v>73</v>
      </c>
      <c r="G9" s="11" t="s">
        <v>74</v>
      </c>
      <c r="H9" s="11" t="s">
        <v>75</v>
      </c>
      <c r="I9" s="11" t="s">
        <v>76</v>
      </c>
      <c r="J9" s="12"/>
      <c r="K9" s="8"/>
      <c r="L9" s="8"/>
      <c r="M9" s="8"/>
      <c r="N9" s="8"/>
      <c r="O9" s="8"/>
      <c r="P9" s="8"/>
      <c r="Q9" s="8"/>
      <c r="R9" s="8"/>
      <c r="S9" s="8"/>
      <c r="T9" s="8"/>
      <c r="U9" s="8"/>
      <c r="V9" s="8"/>
      <c r="W9" s="8"/>
      <c r="X9" s="8"/>
      <c r="Y9" s="8"/>
      <c r="Z9" s="8"/>
    </row>
    <row r="10">
      <c r="A10" s="10">
        <f t="shared" si="1"/>
        <v>9</v>
      </c>
      <c r="B10" s="11" t="s">
        <v>77</v>
      </c>
      <c r="C10" s="11" t="s">
        <v>78</v>
      </c>
      <c r="D10" s="11" t="s">
        <v>79</v>
      </c>
      <c r="E10" s="11" t="s">
        <v>80</v>
      </c>
      <c r="F10" s="11" t="s">
        <v>81</v>
      </c>
      <c r="G10" s="11" t="s">
        <v>82</v>
      </c>
      <c r="H10" s="11" t="s">
        <v>83</v>
      </c>
      <c r="I10" s="11" t="s">
        <v>84</v>
      </c>
      <c r="J10" s="12"/>
      <c r="K10" s="8"/>
      <c r="L10" s="8"/>
      <c r="M10" s="8"/>
      <c r="N10" s="8"/>
      <c r="O10" s="8"/>
      <c r="P10" s="8"/>
      <c r="Q10" s="8"/>
      <c r="R10" s="8"/>
      <c r="S10" s="8"/>
      <c r="T10" s="8"/>
      <c r="U10" s="8"/>
      <c r="V10" s="8"/>
      <c r="W10" s="8"/>
      <c r="X10" s="8"/>
      <c r="Y10" s="8"/>
      <c r="Z10" s="8"/>
    </row>
    <row r="11">
      <c r="A11" s="10">
        <f t="shared" si="1"/>
        <v>10</v>
      </c>
      <c r="B11" s="11" t="s">
        <v>85</v>
      </c>
      <c r="C11" s="11" t="s">
        <v>86</v>
      </c>
      <c r="D11" s="11" t="s">
        <v>87</v>
      </c>
      <c r="E11" s="11" t="s">
        <v>88</v>
      </c>
      <c r="F11" s="11" t="s">
        <v>89</v>
      </c>
      <c r="G11" s="11" t="s">
        <v>90</v>
      </c>
      <c r="H11" s="11" t="s">
        <v>91</v>
      </c>
      <c r="I11" s="11" t="s">
        <v>92</v>
      </c>
      <c r="J11" s="12"/>
      <c r="K11" s="8"/>
      <c r="L11" s="8"/>
      <c r="M11" s="8"/>
      <c r="N11" s="8"/>
      <c r="O11" s="8"/>
      <c r="P11" s="8"/>
      <c r="Q11" s="8"/>
      <c r="R11" s="8"/>
      <c r="S11" s="8"/>
      <c r="T11" s="8"/>
      <c r="U11" s="8"/>
      <c r="V11" s="8"/>
      <c r="W11" s="8"/>
      <c r="X11" s="8"/>
      <c r="Y11" s="8"/>
      <c r="Z11" s="8"/>
    </row>
    <row r="12">
      <c r="A12" s="9">
        <f t="shared" si="1"/>
        <v>11</v>
      </c>
      <c r="B12" s="6" t="s">
        <v>93</v>
      </c>
      <c r="C12" s="6" t="s">
        <v>94</v>
      </c>
      <c r="D12" s="6" t="s">
        <v>95</v>
      </c>
      <c r="E12" s="6" t="s">
        <v>96</v>
      </c>
      <c r="F12" s="6" t="s">
        <v>97</v>
      </c>
      <c r="G12" s="6" t="s">
        <v>98</v>
      </c>
      <c r="H12" s="6" t="s">
        <v>99</v>
      </c>
      <c r="I12" s="6" t="s">
        <v>100</v>
      </c>
      <c r="J12" s="7" t="s">
        <v>27</v>
      </c>
      <c r="K12" s="8"/>
      <c r="L12" s="8"/>
      <c r="M12" s="8"/>
      <c r="N12" s="8"/>
      <c r="O12" s="8"/>
      <c r="P12" s="8"/>
      <c r="Q12" s="8"/>
      <c r="R12" s="8"/>
      <c r="S12" s="8"/>
      <c r="T12" s="8"/>
      <c r="U12" s="8"/>
      <c r="V12" s="8"/>
      <c r="W12" s="8"/>
      <c r="X12" s="8"/>
      <c r="Y12" s="8"/>
      <c r="Z12" s="8"/>
    </row>
    <row r="13">
      <c r="A13" s="9">
        <f t="shared" si="1"/>
        <v>12</v>
      </c>
      <c r="B13" s="6" t="s">
        <v>101</v>
      </c>
      <c r="C13" s="6" t="s">
        <v>102</v>
      </c>
      <c r="D13" s="6" t="s">
        <v>103</v>
      </c>
      <c r="E13" s="6" t="s">
        <v>104</v>
      </c>
      <c r="F13" s="6" t="s">
        <v>105</v>
      </c>
      <c r="G13" s="6" t="s">
        <v>106</v>
      </c>
      <c r="H13" s="6" t="s">
        <v>107</v>
      </c>
      <c r="I13" s="6" t="s">
        <v>108</v>
      </c>
      <c r="J13" s="7" t="s">
        <v>109</v>
      </c>
      <c r="K13" s="8"/>
      <c r="L13" s="8"/>
      <c r="M13" s="8"/>
      <c r="N13" s="8"/>
      <c r="O13" s="8"/>
      <c r="P13" s="8"/>
      <c r="Q13" s="8"/>
      <c r="R13" s="8"/>
      <c r="S13" s="8"/>
      <c r="T13" s="8"/>
      <c r="U13" s="8"/>
      <c r="V13" s="8"/>
      <c r="W13" s="8"/>
      <c r="X13" s="8"/>
      <c r="Y13" s="8"/>
      <c r="Z13" s="8"/>
    </row>
    <row r="14">
      <c r="A14" s="9">
        <f t="shared" si="1"/>
        <v>13</v>
      </c>
      <c r="B14" s="6" t="s">
        <v>110</v>
      </c>
      <c r="C14" s="6" t="s">
        <v>111</v>
      </c>
      <c r="D14" s="6" t="s">
        <v>112</v>
      </c>
      <c r="E14" s="6" t="s">
        <v>113</v>
      </c>
      <c r="F14" s="6" t="s">
        <v>114</v>
      </c>
      <c r="G14" s="6" t="s">
        <v>115</v>
      </c>
      <c r="H14" s="6" t="s">
        <v>116</v>
      </c>
      <c r="I14" s="6" t="s">
        <v>117</v>
      </c>
      <c r="J14" s="7" t="s">
        <v>109</v>
      </c>
      <c r="K14" s="8"/>
      <c r="L14" s="8"/>
      <c r="M14" s="8"/>
      <c r="N14" s="8"/>
      <c r="O14" s="8"/>
      <c r="P14" s="8"/>
      <c r="Q14" s="8"/>
      <c r="R14" s="8"/>
      <c r="S14" s="8"/>
      <c r="T14" s="8"/>
      <c r="U14" s="8"/>
      <c r="V14" s="8"/>
      <c r="W14" s="8"/>
      <c r="X14" s="8"/>
      <c r="Y14" s="8"/>
      <c r="Z14" s="8"/>
    </row>
    <row r="15">
      <c r="A15" s="9">
        <f t="shared" si="1"/>
        <v>14</v>
      </c>
      <c r="B15" s="6" t="s">
        <v>118</v>
      </c>
      <c r="C15" s="6" t="s">
        <v>119</v>
      </c>
      <c r="D15" s="6" t="s">
        <v>120</v>
      </c>
      <c r="E15" s="6" t="s">
        <v>121</v>
      </c>
      <c r="F15" s="6" t="s">
        <v>122</v>
      </c>
      <c r="G15" s="6" t="s">
        <v>123</v>
      </c>
      <c r="H15" s="6" t="s">
        <v>124</v>
      </c>
      <c r="I15" s="6" t="s">
        <v>125</v>
      </c>
      <c r="J15" s="7" t="s">
        <v>60</v>
      </c>
      <c r="K15" s="8"/>
      <c r="L15" s="8"/>
      <c r="M15" s="8"/>
      <c r="N15" s="8"/>
      <c r="O15" s="8"/>
      <c r="P15" s="8"/>
      <c r="Q15" s="8"/>
      <c r="R15" s="8"/>
      <c r="S15" s="8"/>
      <c r="T15" s="8"/>
      <c r="U15" s="8"/>
      <c r="V15" s="8"/>
      <c r="W15" s="8"/>
      <c r="X15" s="8"/>
      <c r="Y15" s="8"/>
      <c r="Z15" s="8"/>
    </row>
    <row r="16">
      <c r="A16" s="9">
        <f t="shared" si="1"/>
        <v>15</v>
      </c>
      <c r="B16" s="6" t="s">
        <v>126</v>
      </c>
      <c r="C16" s="6" t="s">
        <v>127</v>
      </c>
      <c r="D16" s="6" t="s">
        <v>128</v>
      </c>
      <c r="E16" s="6" t="s">
        <v>129</v>
      </c>
      <c r="F16" s="6" t="s">
        <v>130</v>
      </c>
      <c r="G16" s="6" t="s">
        <v>131</v>
      </c>
      <c r="H16" s="6" t="s">
        <v>132</v>
      </c>
      <c r="I16" s="6" t="s">
        <v>133</v>
      </c>
      <c r="J16" s="7" t="s">
        <v>60</v>
      </c>
      <c r="K16" s="8"/>
      <c r="L16" s="8"/>
      <c r="M16" s="8"/>
      <c r="N16" s="8"/>
      <c r="O16" s="8"/>
      <c r="P16" s="8"/>
      <c r="Q16" s="8"/>
      <c r="R16" s="8"/>
      <c r="S16" s="8"/>
      <c r="T16" s="8"/>
      <c r="U16" s="8"/>
      <c r="V16" s="8"/>
      <c r="W16" s="8"/>
      <c r="X16" s="8"/>
      <c r="Y16" s="8"/>
      <c r="Z16" s="8"/>
    </row>
    <row r="17">
      <c r="A17" s="10">
        <f t="shared" si="1"/>
        <v>16</v>
      </c>
      <c r="B17" s="11" t="s">
        <v>134</v>
      </c>
      <c r="C17" s="11" t="s">
        <v>135</v>
      </c>
      <c r="D17" s="11" t="s">
        <v>136</v>
      </c>
      <c r="E17" s="11" t="s">
        <v>137</v>
      </c>
      <c r="F17" s="11" t="s">
        <v>138</v>
      </c>
      <c r="G17" s="11" t="s">
        <v>139</v>
      </c>
      <c r="H17" s="11" t="s">
        <v>140</v>
      </c>
      <c r="I17" s="11" t="s">
        <v>141</v>
      </c>
      <c r="J17" s="12"/>
      <c r="K17" s="8"/>
      <c r="L17" s="8"/>
      <c r="M17" s="8"/>
      <c r="N17" s="8"/>
      <c r="O17" s="8"/>
      <c r="P17" s="8"/>
      <c r="Q17" s="8"/>
      <c r="R17" s="8"/>
      <c r="S17" s="8"/>
      <c r="T17" s="8"/>
      <c r="U17" s="8"/>
      <c r="V17" s="8"/>
      <c r="W17" s="8"/>
      <c r="X17" s="8"/>
      <c r="Y17" s="8"/>
      <c r="Z17" s="8"/>
    </row>
    <row r="18">
      <c r="A18" s="10">
        <f t="shared" si="1"/>
        <v>17</v>
      </c>
      <c r="B18" s="11" t="s">
        <v>142</v>
      </c>
      <c r="C18" s="11" t="s">
        <v>143</v>
      </c>
      <c r="D18" s="11" t="s">
        <v>144</v>
      </c>
      <c r="E18" s="11" t="s">
        <v>145</v>
      </c>
      <c r="F18" s="11" t="s">
        <v>146</v>
      </c>
      <c r="G18" s="11" t="s">
        <v>147</v>
      </c>
      <c r="H18" s="11" t="s">
        <v>148</v>
      </c>
      <c r="I18" s="11" t="s">
        <v>149</v>
      </c>
      <c r="J18" s="12"/>
      <c r="K18" s="8"/>
      <c r="L18" s="8"/>
      <c r="M18" s="8"/>
      <c r="N18" s="8"/>
      <c r="O18" s="8"/>
      <c r="P18" s="8"/>
      <c r="Q18" s="8"/>
      <c r="R18" s="8"/>
      <c r="S18" s="8"/>
      <c r="T18" s="8"/>
      <c r="U18" s="8"/>
      <c r="V18" s="8"/>
      <c r="W18" s="8"/>
      <c r="X18" s="8"/>
      <c r="Y18" s="8"/>
      <c r="Z18" s="8"/>
    </row>
    <row r="19">
      <c r="A19" s="9">
        <f t="shared" si="1"/>
        <v>18</v>
      </c>
      <c r="B19" s="6" t="s">
        <v>150</v>
      </c>
      <c r="C19" s="6" t="s">
        <v>151</v>
      </c>
      <c r="D19" s="6" t="s">
        <v>152</v>
      </c>
      <c r="E19" s="6" t="s">
        <v>153</v>
      </c>
      <c r="F19" s="6" t="s">
        <v>154</v>
      </c>
      <c r="G19" s="6" t="s">
        <v>155</v>
      </c>
      <c r="H19" s="6" t="s">
        <v>156</v>
      </c>
      <c r="I19" s="6" t="s">
        <v>157</v>
      </c>
      <c r="J19" s="7" t="s">
        <v>158</v>
      </c>
      <c r="K19" s="8"/>
      <c r="L19" s="8"/>
      <c r="M19" s="8"/>
      <c r="N19" s="8"/>
      <c r="O19" s="8"/>
      <c r="P19" s="8"/>
      <c r="Q19" s="8"/>
      <c r="R19" s="8"/>
      <c r="S19" s="8"/>
      <c r="T19" s="8"/>
      <c r="U19" s="8"/>
      <c r="V19" s="8"/>
      <c r="W19" s="8"/>
      <c r="X19" s="8"/>
      <c r="Y19" s="8"/>
      <c r="Z19" s="8"/>
    </row>
    <row r="20">
      <c r="A20" s="9">
        <f t="shared" si="1"/>
        <v>19</v>
      </c>
      <c r="B20" s="6" t="s">
        <v>159</v>
      </c>
      <c r="C20" s="6" t="s">
        <v>160</v>
      </c>
      <c r="D20" s="6" t="s">
        <v>161</v>
      </c>
      <c r="E20" s="6" t="s">
        <v>162</v>
      </c>
      <c r="F20" s="6" t="s">
        <v>163</v>
      </c>
      <c r="G20" s="6" t="s">
        <v>164</v>
      </c>
      <c r="H20" s="6" t="s">
        <v>165</v>
      </c>
      <c r="I20" s="6" t="s">
        <v>166</v>
      </c>
      <c r="J20" s="7" t="s">
        <v>18</v>
      </c>
      <c r="K20" s="8"/>
      <c r="L20" s="8"/>
      <c r="M20" s="8"/>
      <c r="N20" s="8"/>
      <c r="O20" s="8"/>
      <c r="P20" s="8"/>
      <c r="Q20" s="8"/>
      <c r="R20" s="8"/>
      <c r="S20" s="8"/>
      <c r="T20" s="8"/>
      <c r="U20" s="8"/>
      <c r="V20" s="8"/>
      <c r="W20" s="8"/>
      <c r="X20" s="8"/>
      <c r="Y20" s="8"/>
      <c r="Z20" s="8"/>
    </row>
    <row r="21">
      <c r="A21" s="9">
        <f t="shared" si="1"/>
        <v>20</v>
      </c>
      <c r="B21" s="6" t="s">
        <v>167</v>
      </c>
      <c r="C21" s="6" t="s">
        <v>168</v>
      </c>
      <c r="D21" s="6" t="s">
        <v>169</v>
      </c>
      <c r="E21" s="6" t="s">
        <v>170</v>
      </c>
      <c r="F21" s="6" t="s">
        <v>171</v>
      </c>
      <c r="G21" s="6" t="s">
        <v>172</v>
      </c>
      <c r="H21" s="6" t="s">
        <v>173</v>
      </c>
      <c r="I21" s="6" t="s">
        <v>174</v>
      </c>
      <c r="J21" s="7" t="s">
        <v>27</v>
      </c>
      <c r="K21" s="8"/>
      <c r="L21" s="8"/>
      <c r="M21" s="8"/>
      <c r="N21" s="8"/>
      <c r="O21" s="8"/>
      <c r="P21" s="8"/>
      <c r="Q21" s="8"/>
      <c r="R21" s="8"/>
      <c r="S21" s="8"/>
      <c r="T21" s="8"/>
      <c r="U21" s="8"/>
      <c r="V21" s="8"/>
      <c r="W21" s="8"/>
      <c r="X21" s="8"/>
      <c r="Y21" s="8"/>
      <c r="Z21" s="8"/>
    </row>
    <row r="22">
      <c r="A22" s="10">
        <f t="shared" si="1"/>
        <v>21</v>
      </c>
      <c r="B22" s="11" t="s">
        <v>175</v>
      </c>
      <c r="C22" s="11" t="s">
        <v>176</v>
      </c>
      <c r="D22" s="11" t="s">
        <v>177</v>
      </c>
      <c r="E22" s="11" t="s">
        <v>178</v>
      </c>
      <c r="F22" s="11" t="s">
        <v>179</v>
      </c>
      <c r="G22" s="11" t="s">
        <v>180</v>
      </c>
      <c r="H22" s="11" t="s">
        <v>181</v>
      </c>
      <c r="I22" s="11" t="s">
        <v>182</v>
      </c>
      <c r="J22" s="12"/>
      <c r="K22" s="8"/>
      <c r="L22" s="8"/>
      <c r="M22" s="8"/>
      <c r="N22" s="8"/>
      <c r="O22" s="8"/>
      <c r="P22" s="8"/>
      <c r="Q22" s="8"/>
      <c r="R22" s="8"/>
      <c r="S22" s="8"/>
      <c r="T22" s="8"/>
      <c r="U22" s="8"/>
      <c r="V22" s="8"/>
      <c r="W22" s="8"/>
      <c r="X22" s="8"/>
      <c r="Y22" s="8"/>
      <c r="Z22" s="8"/>
    </row>
    <row r="23">
      <c r="A23" s="9">
        <f t="shared" si="1"/>
        <v>22</v>
      </c>
      <c r="B23" s="6" t="s">
        <v>183</v>
      </c>
      <c r="C23" s="6" t="s">
        <v>184</v>
      </c>
      <c r="D23" s="6" t="s">
        <v>185</v>
      </c>
      <c r="E23" s="6" t="s">
        <v>186</v>
      </c>
      <c r="F23" s="6" t="s">
        <v>187</v>
      </c>
      <c r="G23" s="6" t="s">
        <v>188</v>
      </c>
      <c r="H23" s="6" t="s">
        <v>189</v>
      </c>
      <c r="I23" s="6" t="s">
        <v>190</v>
      </c>
      <c r="J23" s="7" t="s">
        <v>27</v>
      </c>
      <c r="K23" s="8"/>
      <c r="L23" s="8"/>
      <c r="M23" s="8"/>
      <c r="N23" s="8"/>
      <c r="O23" s="8"/>
      <c r="P23" s="8"/>
      <c r="Q23" s="8"/>
      <c r="R23" s="8"/>
      <c r="S23" s="8"/>
      <c r="T23" s="8"/>
      <c r="U23" s="8"/>
      <c r="V23" s="8"/>
      <c r="W23" s="8"/>
      <c r="X23" s="8"/>
      <c r="Y23" s="8"/>
      <c r="Z23" s="8"/>
    </row>
    <row r="24">
      <c r="A24" s="10">
        <f t="shared" si="1"/>
        <v>23</v>
      </c>
      <c r="B24" s="11" t="s">
        <v>191</v>
      </c>
      <c r="C24" s="11" t="s">
        <v>192</v>
      </c>
      <c r="D24" s="11" t="s">
        <v>193</v>
      </c>
      <c r="E24" s="11" t="s">
        <v>194</v>
      </c>
      <c r="F24" s="11" t="s">
        <v>195</v>
      </c>
      <c r="G24" s="11" t="s">
        <v>196</v>
      </c>
      <c r="H24" s="11" t="s">
        <v>197</v>
      </c>
      <c r="I24" s="11" t="s">
        <v>198</v>
      </c>
      <c r="J24" s="12"/>
      <c r="K24" s="8"/>
      <c r="L24" s="8"/>
      <c r="M24" s="8"/>
      <c r="N24" s="8"/>
      <c r="O24" s="8"/>
      <c r="P24" s="8"/>
      <c r="Q24" s="8"/>
      <c r="R24" s="8"/>
      <c r="S24" s="8"/>
      <c r="T24" s="8"/>
      <c r="U24" s="8"/>
      <c r="V24" s="8"/>
      <c r="W24" s="8"/>
      <c r="X24" s="8"/>
      <c r="Y24" s="8"/>
      <c r="Z24" s="8"/>
    </row>
    <row r="25">
      <c r="A25" s="9">
        <f t="shared" si="1"/>
        <v>24</v>
      </c>
      <c r="B25" s="6" t="s">
        <v>199</v>
      </c>
      <c r="C25" s="6" t="s">
        <v>200</v>
      </c>
      <c r="D25" s="6" t="s">
        <v>201</v>
      </c>
      <c r="E25" s="6" t="s">
        <v>202</v>
      </c>
      <c r="F25" s="6" t="s">
        <v>203</v>
      </c>
      <c r="G25" s="6" t="s">
        <v>204</v>
      </c>
      <c r="H25" s="6" t="s">
        <v>205</v>
      </c>
      <c r="I25" s="6" t="s">
        <v>206</v>
      </c>
      <c r="J25" s="7" t="s">
        <v>60</v>
      </c>
      <c r="K25" s="8"/>
      <c r="L25" s="8"/>
      <c r="M25" s="8"/>
      <c r="N25" s="8"/>
      <c r="O25" s="8"/>
      <c r="P25" s="8"/>
      <c r="Q25" s="8"/>
      <c r="R25" s="8"/>
      <c r="S25" s="8"/>
      <c r="T25" s="8"/>
      <c r="U25" s="8"/>
      <c r="V25" s="8"/>
      <c r="W25" s="8"/>
      <c r="X25" s="8"/>
      <c r="Y25" s="8"/>
      <c r="Z25" s="8"/>
    </row>
    <row r="26">
      <c r="A26" s="9">
        <f t="shared" si="1"/>
        <v>25</v>
      </c>
      <c r="B26" s="6" t="s">
        <v>207</v>
      </c>
      <c r="C26" s="6" t="s">
        <v>208</v>
      </c>
      <c r="D26" s="6" t="s">
        <v>209</v>
      </c>
      <c r="E26" s="6" t="s">
        <v>210</v>
      </c>
      <c r="F26" s="6" t="s">
        <v>211</v>
      </c>
      <c r="G26" s="6" t="s">
        <v>212</v>
      </c>
      <c r="H26" s="6" t="s">
        <v>213</v>
      </c>
      <c r="I26" s="6" t="s">
        <v>214</v>
      </c>
      <c r="J26" s="7" t="s">
        <v>27</v>
      </c>
      <c r="K26" s="8"/>
      <c r="L26" s="8"/>
      <c r="M26" s="8"/>
      <c r="N26" s="8"/>
      <c r="O26" s="8"/>
      <c r="P26" s="8"/>
      <c r="Q26" s="8"/>
      <c r="R26" s="8"/>
      <c r="S26" s="8"/>
      <c r="T26" s="8"/>
      <c r="U26" s="8"/>
      <c r="V26" s="8"/>
      <c r="W26" s="8"/>
      <c r="X26" s="8"/>
      <c r="Y26" s="8"/>
      <c r="Z26" s="8"/>
    </row>
    <row r="27">
      <c r="A27" s="9">
        <f t="shared" si="1"/>
        <v>26</v>
      </c>
      <c r="B27" s="6" t="s">
        <v>215</v>
      </c>
      <c r="C27" s="6" t="s">
        <v>216</v>
      </c>
      <c r="D27" s="6" t="s">
        <v>217</v>
      </c>
      <c r="E27" s="6" t="s">
        <v>218</v>
      </c>
      <c r="F27" s="6" t="s">
        <v>219</v>
      </c>
      <c r="G27" s="6" t="s">
        <v>220</v>
      </c>
      <c r="H27" s="6" t="s">
        <v>221</v>
      </c>
      <c r="I27" s="6" t="s">
        <v>222</v>
      </c>
      <c r="J27" s="7" t="s">
        <v>223</v>
      </c>
      <c r="K27" s="8"/>
      <c r="L27" s="8"/>
      <c r="M27" s="8"/>
      <c r="N27" s="8"/>
      <c r="O27" s="8"/>
      <c r="P27" s="8"/>
      <c r="Q27" s="8"/>
      <c r="R27" s="8"/>
      <c r="S27" s="8"/>
      <c r="T27" s="8"/>
      <c r="U27" s="8"/>
      <c r="V27" s="8"/>
      <c r="W27" s="8"/>
      <c r="X27" s="8"/>
      <c r="Y27" s="8"/>
      <c r="Z27" s="8"/>
    </row>
    <row r="28">
      <c r="A28" s="9">
        <f t="shared" si="1"/>
        <v>27</v>
      </c>
      <c r="B28" s="6" t="s">
        <v>224</v>
      </c>
      <c r="C28" s="6" t="s">
        <v>225</v>
      </c>
      <c r="D28" s="6" t="s">
        <v>226</v>
      </c>
      <c r="E28" s="6" t="s">
        <v>227</v>
      </c>
      <c r="F28" s="6" t="s">
        <v>228</v>
      </c>
      <c r="G28" s="6" t="s">
        <v>229</v>
      </c>
      <c r="H28" s="6" t="s">
        <v>230</v>
      </c>
      <c r="I28" s="6" t="s">
        <v>231</v>
      </c>
      <c r="J28" s="13" t="s">
        <v>109</v>
      </c>
      <c r="K28" s="8"/>
      <c r="L28" s="8"/>
      <c r="M28" s="8"/>
      <c r="N28" s="8"/>
      <c r="O28" s="8"/>
      <c r="P28" s="8"/>
      <c r="Q28" s="8"/>
      <c r="R28" s="8"/>
      <c r="S28" s="8"/>
      <c r="T28" s="8"/>
      <c r="U28" s="8"/>
      <c r="V28" s="8"/>
      <c r="W28" s="8"/>
      <c r="X28" s="8"/>
      <c r="Y28" s="8"/>
      <c r="Z28" s="8"/>
    </row>
    <row r="29">
      <c r="A29" s="10">
        <f t="shared" si="1"/>
        <v>28</v>
      </c>
      <c r="B29" s="11" t="s">
        <v>232</v>
      </c>
      <c r="C29" s="11" t="s">
        <v>233</v>
      </c>
      <c r="D29" s="11" t="s">
        <v>234</v>
      </c>
      <c r="E29" s="11" t="s">
        <v>235</v>
      </c>
      <c r="F29" s="11" t="s">
        <v>236</v>
      </c>
      <c r="G29" s="11" t="s">
        <v>237</v>
      </c>
      <c r="H29" s="11" t="s">
        <v>238</v>
      </c>
      <c r="I29" s="11" t="s">
        <v>239</v>
      </c>
      <c r="J29" s="14"/>
      <c r="K29" s="8"/>
      <c r="L29" s="8"/>
      <c r="M29" s="8"/>
      <c r="N29" s="8"/>
      <c r="O29" s="8"/>
      <c r="P29" s="8"/>
      <c r="Q29" s="8"/>
      <c r="R29" s="8"/>
      <c r="S29" s="8"/>
      <c r="T29" s="8"/>
      <c r="U29" s="8"/>
      <c r="V29" s="8"/>
      <c r="W29" s="8"/>
      <c r="X29" s="8"/>
      <c r="Y29" s="8"/>
      <c r="Z29" s="8"/>
    </row>
    <row r="30">
      <c r="A30" s="9">
        <f t="shared" si="1"/>
        <v>29</v>
      </c>
      <c r="B30" s="6" t="s">
        <v>240</v>
      </c>
      <c r="C30" s="6" t="s">
        <v>241</v>
      </c>
      <c r="D30" s="6" t="s">
        <v>242</v>
      </c>
      <c r="E30" s="6" t="s">
        <v>243</v>
      </c>
      <c r="F30" s="6" t="s">
        <v>244</v>
      </c>
      <c r="G30" s="6" t="s">
        <v>245</v>
      </c>
      <c r="H30" s="6" t="s">
        <v>246</v>
      </c>
      <c r="I30" s="6" t="s">
        <v>247</v>
      </c>
      <c r="J30" s="7" t="s">
        <v>60</v>
      </c>
      <c r="K30" s="8"/>
      <c r="L30" s="8"/>
      <c r="M30" s="8"/>
      <c r="N30" s="8"/>
      <c r="O30" s="8"/>
      <c r="P30" s="8"/>
      <c r="Q30" s="8"/>
      <c r="R30" s="8"/>
      <c r="S30" s="8"/>
      <c r="T30" s="8"/>
      <c r="U30" s="8"/>
      <c r="V30" s="8"/>
      <c r="W30" s="8"/>
      <c r="X30" s="8"/>
      <c r="Y30" s="8"/>
      <c r="Z30" s="8"/>
    </row>
    <row r="31">
      <c r="A31" s="9">
        <f t="shared" si="1"/>
        <v>30</v>
      </c>
      <c r="B31" s="6" t="s">
        <v>248</v>
      </c>
      <c r="C31" s="6" t="s">
        <v>249</v>
      </c>
      <c r="D31" s="6" t="s">
        <v>250</v>
      </c>
      <c r="E31" s="6" t="s">
        <v>251</v>
      </c>
      <c r="F31" s="6" t="s">
        <v>252</v>
      </c>
      <c r="G31" s="6" t="s">
        <v>253</v>
      </c>
      <c r="H31" s="6" t="s">
        <v>254</v>
      </c>
      <c r="I31" s="6" t="s">
        <v>255</v>
      </c>
      <c r="J31" s="7" t="s">
        <v>158</v>
      </c>
      <c r="K31" s="8"/>
      <c r="L31" s="8"/>
      <c r="M31" s="8"/>
      <c r="N31" s="8"/>
      <c r="O31" s="8"/>
      <c r="P31" s="8"/>
      <c r="Q31" s="8"/>
      <c r="R31" s="8"/>
      <c r="S31" s="8"/>
      <c r="T31" s="8"/>
      <c r="U31" s="8"/>
      <c r="V31" s="8"/>
      <c r="W31" s="8"/>
      <c r="X31" s="8"/>
      <c r="Y31" s="8"/>
      <c r="Z31" s="8"/>
    </row>
    <row r="32">
      <c r="A32" s="10">
        <f t="shared" si="1"/>
        <v>31</v>
      </c>
      <c r="B32" s="11" t="s">
        <v>256</v>
      </c>
      <c r="C32" s="11" t="s">
        <v>257</v>
      </c>
      <c r="D32" s="11" t="s">
        <v>258</v>
      </c>
      <c r="E32" s="11" t="s">
        <v>259</v>
      </c>
      <c r="F32" s="11" t="s">
        <v>260</v>
      </c>
      <c r="G32" s="11" t="s">
        <v>261</v>
      </c>
      <c r="H32" s="11" t="s">
        <v>262</v>
      </c>
      <c r="I32" s="11" t="s">
        <v>263</v>
      </c>
      <c r="J32" s="15"/>
      <c r="K32" s="8"/>
      <c r="L32" s="8"/>
      <c r="M32" s="8"/>
      <c r="N32" s="8"/>
      <c r="O32" s="8"/>
      <c r="P32" s="8"/>
      <c r="Q32" s="8"/>
      <c r="R32" s="8"/>
      <c r="S32" s="8"/>
      <c r="T32" s="8"/>
      <c r="U32" s="8"/>
      <c r="V32" s="8"/>
      <c r="W32" s="8"/>
      <c r="X32" s="8"/>
      <c r="Y32" s="8"/>
      <c r="Z32" s="8"/>
    </row>
    <row r="33">
      <c r="A33" s="10">
        <f t="shared" si="1"/>
        <v>32</v>
      </c>
      <c r="B33" s="11" t="s">
        <v>264</v>
      </c>
      <c r="C33" s="11" t="s">
        <v>265</v>
      </c>
      <c r="D33" s="11" t="s">
        <v>266</v>
      </c>
      <c r="E33" s="11" t="s">
        <v>267</v>
      </c>
      <c r="F33" s="11" t="s">
        <v>268</v>
      </c>
      <c r="G33" s="11" t="s">
        <v>269</v>
      </c>
      <c r="H33" s="11" t="s">
        <v>270</v>
      </c>
      <c r="I33" s="11" t="s">
        <v>271</v>
      </c>
      <c r="J33" s="15"/>
      <c r="K33" s="8"/>
      <c r="L33" s="8"/>
      <c r="M33" s="8"/>
      <c r="N33" s="8"/>
      <c r="O33" s="8"/>
      <c r="P33" s="8"/>
      <c r="Q33" s="8"/>
      <c r="R33" s="8"/>
      <c r="S33" s="8"/>
      <c r="T33" s="8"/>
      <c r="U33" s="8"/>
      <c r="V33" s="8"/>
      <c r="W33" s="8"/>
      <c r="X33" s="8"/>
      <c r="Y33" s="8"/>
      <c r="Z33" s="8"/>
    </row>
    <row r="34">
      <c r="A34" s="9">
        <f t="shared" si="1"/>
        <v>33</v>
      </c>
      <c r="B34" s="6" t="s">
        <v>272</v>
      </c>
      <c r="C34" s="6" t="s">
        <v>273</v>
      </c>
      <c r="D34" s="6" t="s">
        <v>274</v>
      </c>
      <c r="E34" s="6" t="s">
        <v>275</v>
      </c>
      <c r="F34" s="6" t="s">
        <v>276</v>
      </c>
      <c r="G34" s="6" t="s">
        <v>277</v>
      </c>
      <c r="H34" s="6" t="s">
        <v>278</v>
      </c>
      <c r="I34" s="6" t="s">
        <v>279</v>
      </c>
      <c r="J34" s="7" t="s">
        <v>158</v>
      </c>
      <c r="K34" s="8"/>
      <c r="L34" s="8"/>
      <c r="M34" s="8"/>
      <c r="N34" s="8"/>
      <c r="O34" s="8"/>
      <c r="P34" s="8"/>
      <c r="Q34" s="8"/>
      <c r="R34" s="8"/>
      <c r="S34" s="8"/>
      <c r="T34" s="8"/>
      <c r="U34" s="8"/>
      <c r="V34" s="8"/>
      <c r="W34" s="8"/>
      <c r="X34" s="8"/>
      <c r="Y34" s="8"/>
      <c r="Z34" s="8"/>
    </row>
    <row r="35">
      <c r="A35" s="10">
        <f t="shared" si="1"/>
        <v>34</v>
      </c>
      <c r="B35" s="11" t="s">
        <v>280</v>
      </c>
      <c r="C35" s="11" t="s">
        <v>281</v>
      </c>
      <c r="D35" s="11" t="s">
        <v>282</v>
      </c>
      <c r="E35" s="11" t="s">
        <v>283</v>
      </c>
      <c r="F35" s="11" t="s">
        <v>284</v>
      </c>
      <c r="G35" s="11" t="s">
        <v>285</v>
      </c>
      <c r="H35" s="11" t="s">
        <v>286</v>
      </c>
      <c r="I35" s="11" t="s">
        <v>287</v>
      </c>
      <c r="J35" s="15"/>
      <c r="K35" s="8"/>
      <c r="L35" s="8"/>
      <c r="M35" s="8"/>
      <c r="N35" s="8"/>
      <c r="O35" s="8"/>
      <c r="P35" s="8"/>
      <c r="Q35" s="8"/>
      <c r="R35" s="8"/>
      <c r="S35" s="8"/>
      <c r="T35" s="8"/>
      <c r="U35" s="8"/>
      <c r="V35" s="8"/>
      <c r="W35" s="8"/>
      <c r="X35" s="8"/>
      <c r="Y35" s="8"/>
      <c r="Z35" s="8"/>
    </row>
    <row r="36">
      <c r="A36" s="9">
        <f t="shared" si="1"/>
        <v>35</v>
      </c>
      <c r="B36" s="6" t="s">
        <v>288</v>
      </c>
      <c r="C36" s="6" t="s">
        <v>289</v>
      </c>
      <c r="D36" s="6" t="s">
        <v>290</v>
      </c>
      <c r="E36" s="6" t="s">
        <v>291</v>
      </c>
      <c r="F36" s="6" t="s">
        <v>292</v>
      </c>
      <c r="G36" s="6" t="s">
        <v>293</v>
      </c>
      <c r="H36" s="6" t="s">
        <v>294</v>
      </c>
      <c r="I36" s="6" t="s">
        <v>295</v>
      </c>
      <c r="J36" s="7" t="s">
        <v>18</v>
      </c>
      <c r="K36" s="8"/>
      <c r="L36" s="8"/>
      <c r="M36" s="8"/>
      <c r="N36" s="8"/>
      <c r="O36" s="8"/>
      <c r="P36" s="8"/>
      <c r="Q36" s="8"/>
      <c r="R36" s="8"/>
      <c r="S36" s="8"/>
      <c r="T36" s="8"/>
      <c r="U36" s="8"/>
      <c r="V36" s="8"/>
      <c r="W36" s="8"/>
      <c r="X36" s="8"/>
      <c r="Y36" s="8"/>
      <c r="Z36" s="8"/>
    </row>
    <row r="37">
      <c r="A37" s="9">
        <f t="shared" si="1"/>
        <v>36</v>
      </c>
      <c r="B37" s="6" t="s">
        <v>296</v>
      </c>
      <c r="C37" s="6" t="s">
        <v>297</v>
      </c>
      <c r="D37" s="6" t="s">
        <v>298</v>
      </c>
      <c r="E37" s="6" t="s">
        <v>299</v>
      </c>
      <c r="F37" s="6" t="s">
        <v>300</v>
      </c>
      <c r="G37" s="6" t="s">
        <v>301</v>
      </c>
      <c r="H37" s="6" t="s">
        <v>302</v>
      </c>
      <c r="I37" s="6" t="s">
        <v>303</v>
      </c>
      <c r="J37" s="7" t="s">
        <v>18</v>
      </c>
      <c r="K37" s="8"/>
      <c r="L37" s="8"/>
      <c r="M37" s="8"/>
      <c r="N37" s="8"/>
      <c r="O37" s="8"/>
      <c r="P37" s="8"/>
      <c r="Q37" s="8"/>
      <c r="R37" s="8"/>
      <c r="S37" s="8"/>
      <c r="T37" s="8"/>
      <c r="U37" s="8"/>
      <c r="V37" s="8"/>
      <c r="W37" s="8"/>
      <c r="X37" s="8"/>
      <c r="Y37" s="8"/>
      <c r="Z37" s="8"/>
    </row>
    <row r="38">
      <c r="A38" s="9">
        <f t="shared" si="1"/>
        <v>37</v>
      </c>
      <c r="B38" s="6" t="s">
        <v>304</v>
      </c>
      <c r="C38" s="6" t="s">
        <v>305</v>
      </c>
      <c r="D38" s="6" t="s">
        <v>306</v>
      </c>
      <c r="E38" s="6" t="s">
        <v>307</v>
      </c>
      <c r="F38" s="6" t="s">
        <v>308</v>
      </c>
      <c r="G38" s="6" t="s">
        <v>309</v>
      </c>
      <c r="H38" s="6" t="s">
        <v>310</v>
      </c>
      <c r="I38" s="6" t="s">
        <v>311</v>
      </c>
      <c r="J38" s="7" t="s">
        <v>158</v>
      </c>
      <c r="K38" s="8"/>
      <c r="L38" s="8"/>
      <c r="M38" s="8"/>
      <c r="N38" s="8"/>
      <c r="O38" s="8"/>
      <c r="P38" s="8"/>
      <c r="Q38" s="8"/>
      <c r="R38" s="8"/>
      <c r="S38" s="8"/>
      <c r="T38" s="8"/>
      <c r="U38" s="8"/>
      <c r="V38" s="8"/>
      <c r="W38" s="8"/>
      <c r="X38" s="8"/>
      <c r="Y38" s="8"/>
      <c r="Z38" s="8"/>
    </row>
    <row r="39">
      <c r="A39" s="9">
        <f t="shared" si="1"/>
        <v>38</v>
      </c>
      <c r="B39" s="6" t="s">
        <v>312</v>
      </c>
      <c r="C39" s="6" t="s">
        <v>313</v>
      </c>
      <c r="D39" s="6" t="s">
        <v>314</v>
      </c>
      <c r="E39" s="6" t="s">
        <v>315</v>
      </c>
      <c r="F39" s="6" t="s">
        <v>316</v>
      </c>
      <c r="G39" s="6" t="s">
        <v>317</v>
      </c>
      <c r="H39" s="6" t="s">
        <v>318</v>
      </c>
      <c r="I39" s="6" t="s">
        <v>319</v>
      </c>
      <c r="J39" s="7" t="s">
        <v>158</v>
      </c>
      <c r="K39" s="8"/>
      <c r="L39" s="8"/>
      <c r="M39" s="8"/>
      <c r="N39" s="8"/>
      <c r="O39" s="8"/>
      <c r="P39" s="8"/>
      <c r="Q39" s="8"/>
      <c r="R39" s="8"/>
      <c r="S39" s="8"/>
      <c r="T39" s="8"/>
      <c r="U39" s="8"/>
      <c r="V39" s="8"/>
      <c r="W39" s="8"/>
      <c r="X39" s="8"/>
      <c r="Y39" s="8"/>
      <c r="Z39" s="8"/>
    </row>
    <row r="40">
      <c r="A40" s="10">
        <f t="shared" si="1"/>
        <v>39</v>
      </c>
      <c r="B40" s="11" t="s">
        <v>320</v>
      </c>
      <c r="C40" s="11" t="s">
        <v>321</v>
      </c>
      <c r="D40" s="11" t="s">
        <v>322</v>
      </c>
      <c r="E40" s="11" t="s">
        <v>323</v>
      </c>
      <c r="F40" s="11" t="s">
        <v>324</v>
      </c>
      <c r="G40" s="11" t="s">
        <v>325</v>
      </c>
      <c r="H40" s="11" t="s">
        <v>326</v>
      </c>
      <c r="I40" s="11" t="s">
        <v>327</v>
      </c>
      <c r="J40" s="15"/>
      <c r="K40" s="8"/>
      <c r="L40" s="8"/>
      <c r="M40" s="8"/>
      <c r="N40" s="8"/>
      <c r="O40" s="8"/>
      <c r="P40" s="8"/>
      <c r="Q40" s="8"/>
      <c r="R40" s="8"/>
      <c r="S40" s="8"/>
      <c r="T40" s="8"/>
      <c r="U40" s="8"/>
      <c r="V40" s="8"/>
      <c r="W40" s="8"/>
      <c r="X40" s="8"/>
      <c r="Y40" s="8"/>
      <c r="Z40" s="8"/>
    </row>
    <row r="41">
      <c r="A41" s="9">
        <f t="shared" si="1"/>
        <v>40</v>
      </c>
      <c r="B41" s="6" t="s">
        <v>328</v>
      </c>
      <c r="C41" s="6" t="s">
        <v>329</v>
      </c>
      <c r="D41" s="6" t="s">
        <v>330</v>
      </c>
      <c r="E41" s="6" t="s">
        <v>331</v>
      </c>
      <c r="F41" s="6" t="s">
        <v>332</v>
      </c>
      <c r="G41" s="6" t="s">
        <v>333</v>
      </c>
      <c r="H41" s="6" t="s">
        <v>334</v>
      </c>
      <c r="I41" s="6" t="s">
        <v>335</v>
      </c>
      <c r="J41" s="7" t="s">
        <v>60</v>
      </c>
      <c r="K41" s="8"/>
      <c r="L41" s="8"/>
      <c r="M41" s="8"/>
      <c r="N41" s="8"/>
      <c r="O41" s="8"/>
      <c r="P41" s="8"/>
      <c r="Q41" s="8"/>
      <c r="R41" s="8"/>
      <c r="S41" s="8"/>
      <c r="T41" s="8"/>
      <c r="U41" s="8"/>
      <c r="V41" s="8"/>
      <c r="W41" s="8"/>
      <c r="X41" s="8"/>
      <c r="Y41" s="8"/>
      <c r="Z41" s="8"/>
    </row>
    <row r="42">
      <c r="A42" s="10">
        <f t="shared" si="1"/>
        <v>41</v>
      </c>
      <c r="B42" s="11" t="s">
        <v>336</v>
      </c>
      <c r="C42" s="11" t="s">
        <v>337</v>
      </c>
      <c r="D42" s="11" t="s">
        <v>338</v>
      </c>
      <c r="E42" s="11" t="s">
        <v>339</v>
      </c>
      <c r="F42" s="11" t="s">
        <v>340</v>
      </c>
      <c r="G42" s="11" t="s">
        <v>341</v>
      </c>
      <c r="H42" s="11" t="s">
        <v>342</v>
      </c>
      <c r="I42" s="11" t="s">
        <v>343</v>
      </c>
      <c r="J42" s="15"/>
      <c r="K42" s="8"/>
      <c r="L42" s="8"/>
      <c r="M42" s="8"/>
      <c r="N42" s="8"/>
      <c r="O42" s="8"/>
      <c r="P42" s="8"/>
      <c r="Q42" s="8"/>
      <c r="R42" s="8"/>
      <c r="S42" s="8"/>
      <c r="T42" s="8"/>
      <c r="U42" s="8"/>
      <c r="V42" s="8"/>
      <c r="W42" s="8"/>
      <c r="X42" s="8"/>
      <c r="Y42" s="8"/>
      <c r="Z42" s="8"/>
    </row>
    <row r="43">
      <c r="A43" s="10">
        <f t="shared" si="1"/>
        <v>42</v>
      </c>
      <c r="B43" s="11" t="s">
        <v>344</v>
      </c>
      <c r="C43" s="11" t="s">
        <v>345</v>
      </c>
      <c r="D43" s="11" t="s">
        <v>346</v>
      </c>
      <c r="E43" s="11" t="s">
        <v>347</v>
      </c>
      <c r="F43" s="11" t="s">
        <v>348</v>
      </c>
      <c r="G43" s="11" t="s">
        <v>349</v>
      </c>
      <c r="H43" s="11" t="s">
        <v>350</v>
      </c>
      <c r="I43" s="11" t="s">
        <v>351</v>
      </c>
      <c r="J43" s="15"/>
      <c r="K43" s="8"/>
      <c r="L43" s="8"/>
      <c r="M43" s="8"/>
      <c r="N43" s="8"/>
      <c r="O43" s="8"/>
      <c r="P43" s="8"/>
      <c r="Q43" s="8"/>
      <c r="R43" s="8"/>
      <c r="S43" s="8"/>
      <c r="T43" s="8"/>
      <c r="U43" s="8"/>
      <c r="V43" s="8"/>
      <c r="W43" s="8"/>
      <c r="X43" s="8"/>
      <c r="Y43" s="8"/>
      <c r="Z43" s="8"/>
    </row>
    <row r="44">
      <c r="A44" s="10">
        <f t="shared" si="1"/>
        <v>43</v>
      </c>
      <c r="B44" s="11" t="s">
        <v>352</v>
      </c>
      <c r="C44" s="11" t="s">
        <v>353</v>
      </c>
      <c r="D44" s="11" t="s">
        <v>354</v>
      </c>
      <c r="E44" s="11" t="s">
        <v>355</v>
      </c>
      <c r="F44" s="11" t="s">
        <v>356</v>
      </c>
      <c r="G44" s="11" t="s">
        <v>357</v>
      </c>
      <c r="H44" s="11" t="s">
        <v>358</v>
      </c>
      <c r="I44" s="11" t="s">
        <v>359</v>
      </c>
      <c r="J44" s="15"/>
      <c r="K44" s="8"/>
      <c r="L44" s="8"/>
      <c r="M44" s="8"/>
      <c r="N44" s="8"/>
      <c r="O44" s="8"/>
      <c r="P44" s="8"/>
      <c r="Q44" s="8"/>
      <c r="R44" s="8"/>
      <c r="S44" s="8"/>
      <c r="T44" s="8"/>
      <c r="U44" s="8"/>
      <c r="V44" s="8"/>
      <c r="W44" s="8"/>
      <c r="X44" s="8"/>
      <c r="Y44" s="8"/>
      <c r="Z44" s="8"/>
    </row>
    <row r="45">
      <c r="A45" s="10">
        <f t="shared" si="1"/>
        <v>44</v>
      </c>
      <c r="B45" s="11" t="s">
        <v>360</v>
      </c>
      <c r="C45" s="11" t="s">
        <v>361</v>
      </c>
      <c r="D45" s="11" t="s">
        <v>362</v>
      </c>
      <c r="E45" s="11" t="s">
        <v>363</v>
      </c>
      <c r="F45" s="11" t="s">
        <v>364</v>
      </c>
      <c r="G45" s="11" t="s">
        <v>365</v>
      </c>
      <c r="H45" s="11" t="s">
        <v>366</v>
      </c>
      <c r="I45" s="11" t="s">
        <v>367</v>
      </c>
      <c r="J45" s="15"/>
      <c r="K45" s="8"/>
      <c r="L45" s="8"/>
      <c r="M45" s="8"/>
      <c r="N45" s="8"/>
      <c r="O45" s="8"/>
      <c r="P45" s="8"/>
      <c r="Q45" s="8"/>
      <c r="R45" s="8"/>
      <c r="S45" s="8"/>
      <c r="T45" s="8"/>
      <c r="U45" s="8"/>
      <c r="V45" s="8"/>
      <c r="W45" s="8"/>
      <c r="X45" s="8"/>
      <c r="Y45" s="8"/>
      <c r="Z45" s="8"/>
    </row>
    <row r="46">
      <c r="A46" s="10">
        <f t="shared" si="1"/>
        <v>45</v>
      </c>
      <c r="B46" s="11" t="s">
        <v>368</v>
      </c>
      <c r="C46" s="11" t="s">
        <v>369</v>
      </c>
      <c r="D46" s="11" t="s">
        <v>370</v>
      </c>
      <c r="E46" s="11" t="s">
        <v>371</v>
      </c>
      <c r="F46" s="11" t="s">
        <v>372</v>
      </c>
      <c r="G46" s="11" t="s">
        <v>373</v>
      </c>
      <c r="H46" s="11" t="s">
        <v>374</v>
      </c>
      <c r="I46" s="11" t="s">
        <v>375</v>
      </c>
      <c r="J46" s="15"/>
      <c r="K46" s="8"/>
      <c r="L46" s="8"/>
      <c r="M46" s="8"/>
      <c r="N46" s="8"/>
      <c r="O46" s="8"/>
      <c r="P46" s="8"/>
      <c r="Q46" s="8"/>
      <c r="R46" s="8"/>
      <c r="S46" s="8"/>
      <c r="T46" s="8"/>
      <c r="U46" s="8"/>
      <c r="V46" s="8"/>
      <c r="W46" s="8"/>
      <c r="X46" s="8"/>
      <c r="Y46" s="8"/>
      <c r="Z46" s="8"/>
    </row>
    <row r="47">
      <c r="A47" s="10">
        <f t="shared" si="1"/>
        <v>46</v>
      </c>
      <c r="B47" s="11" t="s">
        <v>376</v>
      </c>
      <c r="C47" s="11" t="s">
        <v>377</v>
      </c>
      <c r="D47" s="11" t="s">
        <v>378</v>
      </c>
      <c r="E47" s="11" t="s">
        <v>379</v>
      </c>
      <c r="F47" s="11" t="s">
        <v>380</v>
      </c>
      <c r="G47" s="11" t="s">
        <v>381</v>
      </c>
      <c r="H47" s="11" t="s">
        <v>382</v>
      </c>
      <c r="I47" s="11" t="s">
        <v>383</v>
      </c>
      <c r="J47" s="15"/>
      <c r="K47" s="8"/>
      <c r="L47" s="8"/>
      <c r="M47" s="8"/>
      <c r="N47" s="8"/>
      <c r="O47" s="8"/>
      <c r="P47" s="8"/>
      <c r="Q47" s="8"/>
      <c r="R47" s="8"/>
      <c r="S47" s="8"/>
      <c r="T47" s="8"/>
      <c r="U47" s="8"/>
      <c r="V47" s="8"/>
      <c r="W47" s="8"/>
      <c r="X47" s="8"/>
      <c r="Y47" s="8"/>
      <c r="Z47" s="8"/>
    </row>
    <row r="48">
      <c r="A48" s="9">
        <f t="shared" si="1"/>
        <v>47</v>
      </c>
      <c r="B48" s="6" t="s">
        <v>384</v>
      </c>
      <c r="C48" s="6" t="s">
        <v>385</v>
      </c>
      <c r="D48" s="6" t="s">
        <v>386</v>
      </c>
      <c r="E48" s="6" t="s">
        <v>387</v>
      </c>
      <c r="F48" s="6" t="s">
        <v>388</v>
      </c>
      <c r="G48" s="6" t="s">
        <v>389</v>
      </c>
      <c r="H48" s="6" t="s">
        <v>390</v>
      </c>
      <c r="I48" s="6" t="s">
        <v>391</v>
      </c>
      <c r="J48" s="7" t="s">
        <v>18</v>
      </c>
      <c r="K48" s="8"/>
      <c r="L48" s="8"/>
      <c r="M48" s="8"/>
      <c r="N48" s="8"/>
      <c r="O48" s="8"/>
      <c r="P48" s="8"/>
      <c r="Q48" s="8"/>
      <c r="R48" s="8"/>
      <c r="S48" s="8"/>
      <c r="T48" s="8"/>
      <c r="U48" s="8"/>
      <c r="V48" s="8"/>
      <c r="W48" s="8"/>
      <c r="X48" s="8"/>
      <c r="Y48" s="8"/>
      <c r="Z48" s="8"/>
    </row>
    <row r="49">
      <c r="A49" s="10">
        <f t="shared" si="1"/>
        <v>48</v>
      </c>
      <c r="B49" s="11" t="s">
        <v>392</v>
      </c>
      <c r="C49" s="11" t="s">
        <v>393</v>
      </c>
      <c r="D49" s="11" t="s">
        <v>394</v>
      </c>
      <c r="E49" s="11" t="s">
        <v>395</v>
      </c>
      <c r="F49" s="11" t="s">
        <v>396</v>
      </c>
      <c r="G49" s="11" t="s">
        <v>397</v>
      </c>
      <c r="H49" s="11" t="s">
        <v>398</v>
      </c>
      <c r="I49" s="11" t="s">
        <v>399</v>
      </c>
      <c r="J49" s="15"/>
      <c r="K49" s="8"/>
      <c r="L49" s="8"/>
      <c r="M49" s="8"/>
      <c r="N49" s="8"/>
      <c r="O49" s="8"/>
      <c r="P49" s="8"/>
      <c r="Q49" s="8"/>
      <c r="R49" s="8"/>
      <c r="S49" s="8"/>
      <c r="T49" s="8"/>
      <c r="U49" s="8"/>
      <c r="V49" s="8"/>
      <c r="W49" s="8"/>
      <c r="X49" s="8"/>
      <c r="Y49" s="8"/>
      <c r="Z49" s="8"/>
    </row>
    <row r="50">
      <c r="A50" s="10">
        <f t="shared" si="1"/>
        <v>49</v>
      </c>
      <c r="B50" s="11" t="s">
        <v>400</v>
      </c>
      <c r="C50" s="11" t="s">
        <v>401</v>
      </c>
      <c r="D50" s="11" t="s">
        <v>402</v>
      </c>
      <c r="E50" s="11" t="s">
        <v>403</v>
      </c>
      <c r="F50" s="11" t="s">
        <v>404</v>
      </c>
      <c r="G50" s="11" t="s">
        <v>405</v>
      </c>
      <c r="H50" s="11" t="s">
        <v>406</v>
      </c>
      <c r="I50" s="11" t="s">
        <v>407</v>
      </c>
      <c r="J50" s="15"/>
      <c r="K50" s="8"/>
      <c r="L50" s="8"/>
      <c r="M50" s="8"/>
      <c r="N50" s="8"/>
      <c r="O50" s="8"/>
      <c r="P50" s="8"/>
      <c r="Q50" s="8"/>
      <c r="R50" s="8"/>
      <c r="S50" s="8"/>
      <c r="T50" s="8"/>
      <c r="U50" s="8"/>
      <c r="V50" s="8"/>
      <c r="W50" s="8"/>
      <c r="X50" s="8"/>
      <c r="Y50" s="8"/>
      <c r="Z50" s="8"/>
    </row>
    <row r="51">
      <c r="A51" s="9">
        <f t="shared" si="1"/>
        <v>50</v>
      </c>
      <c r="B51" s="6" t="s">
        <v>408</v>
      </c>
      <c r="C51" s="6" t="s">
        <v>409</v>
      </c>
      <c r="D51" s="6" t="s">
        <v>410</v>
      </c>
      <c r="E51" s="6" t="s">
        <v>411</v>
      </c>
      <c r="F51" s="6" t="s">
        <v>412</v>
      </c>
      <c r="G51" s="6" t="s">
        <v>413</v>
      </c>
      <c r="H51" s="6" t="s">
        <v>414</v>
      </c>
      <c r="I51" s="6" t="s">
        <v>415</v>
      </c>
      <c r="J51" s="7" t="s">
        <v>18</v>
      </c>
      <c r="K51" s="8"/>
      <c r="L51" s="8"/>
      <c r="M51" s="8"/>
      <c r="N51" s="8"/>
      <c r="O51" s="8"/>
      <c r="P51" s="8"/>
      <c r="Q51" s="8"/>
      <c r="R51" s="8"/>
      <c r="S51" s="8"/>
      <c r="T51" s="8"/>
      <c r="U51" s="8"/>
      <c r="V51" s="8"/>
      <c r="W51" s="8"/>
      <c r="X51" s="8"/>
      <c r="Y51" s="8"/>
      <c r="Z51" s="8"/>
    </row>
    <row r="52">
      <c r="A52" s="10">
        <f t="shared" si="1"/>
        <v>51</v>
      </c>
      <c r="B52" s="11" t="s">
        <v>416</v>
      </c>
      <c r="C52" s="11" t="s">
        <v>417</v>
      </c>
      <c r="D52" s="11" t="s">
        <v>418</v>
      </c>
      <c r="E52" s="11" t="s">
        <v>419</v>
      </c>
      <c r="F52" s="11" t="s">
        <v>420</v>
      </c>
      <c r="G52" s="11" t="s">
        <v>421</v>
      </c>
      <c r="H52" s="11" t="s">
        <v>422</v>
      </c>
      <c r="I52" s="11" t="s">
        <v>423</v>
      </c>
      <c r="J52" s="15"/>
      <c r="K52" s="8"/>
      <c r="L52" s="8"/>
      <c r="M52" s="8"/>
      <c r="N52" s="8"/>
      <c r="O52" s="8"/>
      <c r="P52" s="8"/>
      <c r="Q52" s="8"/>
      <c r="R52" s="8"/>
      <c r="S52" s="8"/>
      <c r="T52" s="8"/>
      <c r="U52" s="8"/>
      <c r="V52" s="8"/>
      <c r="W52" s="8"/>
      <c r="X52" s="8"/>
      <c r="Y52" s="8"/>
      <c r="Z52" s="8"/>
    </row>
    <row r="53">
      <c r="A53" s="9">
        <f t="shared" si="1"/>
        <v>52</v>
      </c>
      <c r="B53" s="6" t="s">
        <v>424</v>
      </c>
      <c r="C53" s="6" t="s">
        <v>425</v>
      </c>
      <c r="D53" s="6" t="s">
        <v>426</v>
      </c>
      <c r="E53" s="6" t="s">
        <v>427</v>
      </c>
      <c r="F53" s="6" t="s">
        <v>428</v>
      </c>
      <c r="G53" s="6" t="s">
        <v>429</v>
      </c>
      <c r="H53" s="6" t="s">
        <v>430</v>
      </c>
      <c r="I53" s="6" t="s">
        <v>431</v>
      </c>
      <c r="J53" s="7" t="s">
        <v>27</v>
      </c>
      <c r="K53" s="8"/>
      <c r="L53" s="8"/>
      <c r="M53" s="8"/>
      <c r="N53" s="8"/>
      <c r="O53" s="8"/>
      <c r="P53" s="8"/>
      <c r="Q53" s="8"/>
      <c r="R53" s="8"/>
      <c r="S53" s="8"/>
      <c r="T53" s="8"/>
      <c r="U53" s="8"/>
      <c r="V53" s="8"/>
      <c r="W53" s="8"/>
      <c r="X53" s="8"/>
      <c r="Y53" s="8"/>
      <c r="Z53" s="8"/>
    </row>
    <row r="54">
      <c r="A54" s="9">
        <f t="shared" si="1"/>
        <v>53</v>
      </c>
      <c r="B54" s="6" t="s">
        <v>432</v>
      </c>
      <c r="C54" s="6" t="s">
        <v>433</v>
      </c>
      <c r="D54" s="6" t="s">
        <v>434</v>
      </c>
      <c r="E54" s="6" t="s">
        <v>435</v>
      </c>
      <c r="F54" s="6" t="s">
        <v>436</v>
      </c>
      <c r="G54" s="6" t="s">
        <v>437</v>
      </c>
      <c r="H54" s="6" t="s">
        <v>438</v>
      </c>
      <c r="I54" s="6" t="s">
        <v>439</v>
      </c>
      <c r="J54" s="7" t="s">
        <v>158</v>
      </c>
      <c r="K54" s="8"/>
      <c r="L54" s="8"/>
      <c r="M54" s="8"/>
      <c r="N54" s="8"/>
      <c r="O54" s="8"/>
      <c r="P54" s="8"/>
      <c r="Q54" s="8"/>
      <c r="R54" s="8"/>
      <c r="S54" s="8"/>
      <c r="T54" s="8"/>
      <c r="U54" s="8"/>
      <c r="V54" s="8"/>
      <c r="W54" s="8"/>
      <c r="X54" s="8"/>
      <c r="Y54" s="8"/>
      <c r="Z54" s="8"/>
    </row>
    <row r="55">
      <c r="A55" s="9">
        <f t="shared" si="1"/>
        <v>54</v>
      </c>
      <c r="B55" s="6" t="s">
        <v>440</v>
      </c>
      <c r="C55" s="6" t="s">
        <v>441</v>
      </c>
      <c r="D55" s="6" t="s">
        <v>442</v>
      </c>
      <c r="E55" s="6" t="s">
        <v>443</v>
      </c>
      <c r="F55" s="6" t="s">
        <v>444</v>
      </c>
      <c r="G55" s="6" t="s">
        <v>445</v>
      </c>
      <c r="H55" s="6" t="s">
        <v>446</v>
      </c>
      <c r="I55" s="6" t="s">
        <v>447</v>
      </c>
      <c r="J55" s="7" t="s">
        <v>158</v>
      </c>
      <c r="K55" s="8"/>
      <c r="L55" s="8"/>
      <c r="M55" s="8"/>
      <c r="N55" s="8"/>
      <c r="O55" s="8"/>
      <c r="P55" s="8"/>
      <c r="Q55" s="8"/>
      <c r="R55" s="8"/>
      <c r="S55" s="8"/>
      <c r="T55" s="8"/>
      <c r="U55" s="8"/>
      <c r="V55" s="8"/>
      <c r="W55" s="8"/>
      <c r="X55" s="8"/>
      <c r="Y55" s="8"/>
      <c r="Z55" s="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30.63"/>
    <col customWidth="1" min="3" max="3" width="52.13"/>
    <col customWidth="1" min="4" max="4" width="48.63"/>
    <col customWidth="1" min="5" max="5" width="35.13"/>
    <col customWidth="1" min="6" max="6" width="60.63"/>
  </cols>
  <sheetData>
    <row r="1">
      <c r="A1" s="1" t="s">
        <v>0</v>
      </c>
      <c r="B1" s="1" t="s">
        <v>448</v>
      </c>
      <c r="C1" s="1" t="s">
        <v>449</v>
      </c>
      <c r="D1" s="1" t="s">
        <v>450</v>
      </c>
      <c r="E1" s="1" t="s">
        <v>451</v>
      </c>
      <c r="F1" s="1" t="s">
        <v>452</v>
      </c>
      <c r="G1" s="4"/>
      <c r="H1" s="4"/>
      <c r="I1" s="4"/>
      <c r="J1" s="4"/>
      <c r="K1" s="4"/>
      <c r="L1" s="4"/>
      <c r="M1" s="4"/>
      <c r="N1" s="4"/>
      <c r="O1" s="4"/>
      <c r="P1" s="4"/>
      <c r="Q1" s="4"/>
      <c r="R1" s="4"/>
      <c r="S1" s="4"/>
      <c r="T1" s="4"/>
      <c r="U1" s="4"/>
      <c r="V1" s="4"/>
      <c r="W1" s="4"/>
      <c r="X1" s="4"/>
      <c r="Y1" s="4"/>
      <c r="Z1" s="4"/>
    </row>
    <row r="2">
      <c r="A2" s="10">
        <f>1</f>
        <v>1</v>
      </c>
      <c r="B2" s="11" t="s">
        <v>453</v>
      </c>
      <c r="C2" s="11" t="s">
        <v>454</v>
      </c>
      <c r="D2" s="11" t="s">
        <v>455</v>
      </c>
      <c r="E2" s="11" t="s">
        <v>456</v>
      </c>
      <c r="F2" s="11" t="s">
        <v>457</v>
      </c>
      <c r="G2" s="8"/>
      <c r="H2" s="8"/>
      <c r="I2" s="8"/>
      <c r="J2" s="8"/>
      <c r="K2" s="8"/>
      <c r="L2" s="8"/>
      <c r="M2" s="8"/>
      <c r="N2" s="8"/>
      <c r="O2" s="8"/>
      <c r="P2" s="8"/>
      <c r="Q2" s="8"/>
      <c r="R2" s="8"/>
      <c r="S2" s="8"/>
      <c r="T2" s="8"/>
      <c r="U2" s="8"/>
      <c r="V2" s="8"/>
      <c r="W2" s="8"/>
      <c r="X2" s="8"/>
      <c r="Y2" s="8"/>
      <c r="Z2" s="8"/>
    </row>
    <row r="3">
      <c r="A3" s="10">
        <f t="shared" ref="A3:A55" si="1">SUM(A2+1)</f>
        <v>2</v>
      </c>
      <c r="B3" s="11" t="s">
        <v>458</v>
      </c>
      <c r="C3" s="11" t="s">
        <v>459</v>
      </c>
      <c r="D3" s="11" t="s">
        <v>460</v>
      </c>
      <c r="E3" s="11" t="s">
        <v>456</v>
      </c>
      <c r="F3" s="11" t="s">
        <v>461</v>
      </c>
      <c r="G3" s="8"/>
      <c r="H3" s="8"/>
      <c r="I3" s="8"/>
      <c r="J3" s="8"/>
      <c r="K3" s="8"/>
      <c r="L3" s="8"/>
      <c r="M3" s="8"/>
      <c r="N3" s="8"/>
      <c r="O3" s="8"/>
      <c r="P3" s="8"/>
      <c r="Q3" s="8"/>
      <c r="R3" s="8"/>
      <c r="S3" s="8"/>
      <c r="T3" s="8"/>
      <c r="U3" s="8"/>
      <c r="V3" s="8"/>
      <c r="W3" s="8"/>
      <c r="X3" s="8"/>
      <c r="Y3" s="8"/>
      <c r="Z3" s="8"/>
    </row>
    <row r="4">
      <c r="A4" s="10">
        <f t="shared" si="1"/>
        <v>3</v>
      </c>
      <c r="B4" s="11" t="s">
        <v>462</v>
      </c>
      <c r="C4" s="11" t="s">
        <v>463</v>
      </c>
      <c r="D4" s="11" t="s">
        <v>464</v>
      </c>
      <c r="E4" s="11" t="s">
        <v>456</v>
      </c>
      <c r="F4" s="11" t="s">
        <v>465</v>
      </c>
      <c r="G4" s="8"/>
      <c r="H4" s="8"/>
      <c r="I4" s="8"/>
      <c r="J4" s="8"/>
      <c r="K4" s="8"/>
      <c r="L4" s="8"/>
      <c r="M4" s="8"/>
      <c r="N4" s="8"/>
      <c r="O4" s="8"/>
      <c r="P4" s="8"/>
      <c r="Q4" s="8"/>
      <c r="R4" s="8"/>
      <c r="S4" s="8"/>
      <c r="T4" s="8"/>
      <c r="U4" s="8"/>
      <c r="V4" s="8"/>
      <c r="W4" s="8"/>
      <c r="X4" s="8"/>
      <c r="Y4" s="8"/>
      <c r="Z4" s="8"/>
    </row>
    <row r="5">
      <c r="A5" s="10">
        <f t="shared" si="1"/>
        <v>4</v>
      </c>
      <c r="B5" s="11" t="s">
        <v>466</v>
      </c>
      <c r="C5" s="11" t="s">
        <v>467</v>
      </c>
      <c r="D5" s="11" t="s">
        <v>468</v>
      </c>
      <c r="E5" s="11" t="s">
        <v>469</v>
      </c>
      <c r="F5" s="11" t="s">
        <v>470</v>
      </c>
      <c r="G5" s="8"/>
      <c r="H5" s="8"/>
      <c r="I5" s="8"/>
      <c r="J5" s="8"/>
      <c r="K5" s="8"/>
      <c r="L5" s="8"/>
      <c r="M5" s="8"/>
      <c r="N5" s="8"/>
      <c r="O5" s="8"/>
      <c r="P5" s="8"/>
      <c r="Q5" s="8"/>
      <c r="R5" s="8"/>
      <c r="S5" s="8"/>
      <c r="T5" s="8"/>
      <c r="U5" s="8"/>
      <c r="V5" s="8"/>
      <c r="W5" s="8"/>
      <c r="X5" s="8"/>
      <c r="Y5" s="8"/>
      <c r="Z5" s="8"/>
    </row>
    <row r="6">
      <c r="A6" s="10">
        <f t="shared" si="1"/>
        <v>5</v>
      </c>
      <c r="B6" s="11" t="s">
        <v>471</v>
      </c>
      <c r="C6" s="11" t="s">
        <v>472</v>
      </c>
      <c r="D6" s="11" t="s">
        <v>473</v>
      </c>
      <c r="E6" s="11" t="s">
        <v>474</v>
      </c>
      <c r="F6" s="11" t="s">
        <v>475</v>
      </c>
      <c r="G6" s="8"/>
      <c r="H6" s="8"/>
      <c r="I6" s="8"/>
      <c r="J6" s="8"/>
      <c r="K6" s="8"/>
      <c r="L6" s="8"/>
      <c r="M6" s="8"/>
      <c r="N6" s="8"/>
      <c r="O6" s="8"/>
      <c r="P6" s="8"/>
      <c r="Q6" s="8"/>
      <c r="R6" s="8"/>
      <c r="S6" s="8"/>
      <c r="T6" s="8"/>
      <c r="U6" s="8"/>
      <c r="V6" s="8"/>
      <c r="W6" s="8"/>
      <c r="X6" s="8"/>
      <c r="Y6" s="8"/>
      <c r="Z6" s="8"/>
    </row>
    <row r="7">
      <c r="A7" s="10">
        <f t="shared" si="1"/>
        <v>6</v>
      </c>
      <c r="B7" s="11" t="s">
        <v>476</v>
      </c>
      <c r="C7" s="11" t="s">
        <v>477</v>
      </c>
      <c r="D7" s="11" t="s">
        <v>478</v>
      </c>
      <c r="E7" s="11" t="s">
        <v>474</v>
      </c>
      <c r="F7" s="11" t="s">
        <v>479</v>
      </c>
      <c r="G7" s="8"/>
      <c r="H7" s="8"/>
      <c r="I7" s="8"/>
      <c r="J7" s="8"/>
      <c r="K7" s="8"/>
      <c r="L7" s="8"/>
      <c r="M7" s="8"/>
      <c r="N7" s="8"/>
      <c r="O7" s="8"/>
      <c r="P7" s="8"/>
      <c r="Q7" s="8"/>
      <c r="R7" s="8"/>
      <c r="S7" s="8"/>
      <c r="T7" s="8"/>
      <c r="U7" s="8"/>
      <c r="V7" s="8"/>
      <c r="W7" s="8"/>
      <c r="X7" s="8"/>
      <c r="Y7" s="8"/>
      <c r="Z7" s="8"/>
    </row>
    <row r="8">
      <c r="A8" s="10">
        <f t="shared" si="1"/>
        <v>7</v>
      </c>
      <c r="B8" s="11" t="s">
        <v>480</v>
      </c>
      <c r="C8" s="11" t="s">
        <v>481</v>
      </c>
      <c r="D8" s="11" t="s">
        <v>482</v>
      </c>
      <c r="E8" s="11" t="s">
        <v>474</v>
      </c>
      <c r="F8" s="11" t="s">
        <v>483</v>
      </c>
      <c r="G8" s="8"/>
      <c r="H8" s="8"/>
      <c r="I8" s="8"/>
      <c r="J8" s="8"/>
      <c r="K8" s="8"/>
      <c r="L8" s="8"/>
      <c r="M8" s="8"/>
      <c r="N8" s="8"/>
      <c r="O8" s="8"/>
      <c r="P8" s="8"/>
      <c r="Q8" s="8"/>
      <c r="R8" s="8"/>
      <c r="S8" s="8"/>
      <c r="T8" s="8"/>
      <c r="U8" s="8"/>
      <c r="V8" s="8"/>
      <c r="W8" s="8"/>
      <c r="X8" s="8"/>
      <c r="Y8" s="8"/>
      <c r="Z8" s="8"/>
    </row>
    <row r="9">
      <c r="A9" s="10">
        <f t="shared" si="1"/>
        <v>8</v>
      </c>
      <c r="B9" s="11" t="s">
        <v>484</v>
      </c>
      <c r="C9" s="11" t="s">
        <v>485</v>
      </c>
      <c r="D9" s="11" t="s">
        <v>486</v>
      </c>
      <c r="E9" s="11" t="s">
        <v>456</v>
      </c>
      <c r="F9" s="11" t="s">
        <v>487</v>
      </c>
      <c r="G9" s="8"/>
      <c r="H9" s="8"/>
      <c r="I9" s="8"/>
      <c r="J9" s="8"/>
      <c r="K9" s="8"/>
      <c r="L9" s="8"/>
      <c r="M9" s="8"/>
      <c r="N9" s="8"/>
      <c r="O9" s="8"/>
      <c r="P9" s="8"/>
      <c r="Q9" s="8"/>
      <c r="R9" s="8"/>
      <c r="S9" s="8"/>
      <c r="T9" s="8"/>
      <c r="U9" s="8"/>
      <c r="V9" s="8"/>
      <c r="W9" s="8"/>
      <c r="X9" s="8"/>
      <c r="Y9" s="8"/>
      <c r="Z9" s="8"/>
    </row>
    <row r="10">
      <c r="A10" s="10">
        <f t="shared" si="1"/>
        <v>9</v>
      </c>
      <c r="B10" s="11" t="s">
        <v>488</v>
      </c>
      <c r="C10" s="11" t="s">
        <v>489</v>
      </c>
      <c r="D10" s="11" t="s">
        <v>490</v>
      </c>
      <c r="E10" s="11" t="s">
        <v>456</v>
      </c>
      <c r="F10" s="11" t="s">
        <v>491</v>
      </c>
      <c r="G10" s="8"/>
      <c r="H10" s="8"/>
      <c r="I10" s="8"/>
      <c r="J10" s="8"/>
      <c r="K10" s="8"/>
      <c r="L10" s="8"/>
      <c r="M10" s="8"/>
      <c r="N10" s="8"/>
      <c r="O10" s="8"/>
      <c r="P10" s="8"/>
      <c r="Q10" s="8"/>
      <c r="R10" s="8"/>
      <c r="S10" s="8"/>
      <c r="T10" s="8"/>
      <c r="U10" s="8"/>
      <c r="V10" s="8"/>
      <c r="W10" s="8"/>
      <c r="X10" s="8"/>
      <c r="Y10" s="8"/>
      <c r="Z10" s="8"/>
    </row>
    <row r="11">
      <c r="A11" s="10">
        <f t="shared" si="1"/>
        <v>10</v>
      </c>
      <c r="B11" s="11" t="s">
        <v>492</v>
      </c>
      <c r="C11" s="11" t="s">
        <v>493</v>
      </c>
      <c r="D11" s="11" t="s">
        <v>494</v>
      </c>
      <c r="E11" s="11" t="s">
        <v>456</v>
      </c>
      <c r="F11" s="11" t="s">
        <v>495</v>
      </c>
      <c r="G11" s="8"/>
      <c r="H11" s="8"/>
      <c r="I11" s="8"/>
      <c r="J11" s="8"/>
      <c r="K11" s="8"/>
      <c r="L11" s="8"/>
      <c r="M11" s="8"/>
      <c r="N11" s="8"/>
      <c r="O11" s="8"/>
      <c r="P11" s="8"/>
      <c r="Q11" s="8"/>
      <c r="R11" s="8"/>
      <c r="S11" s="8"/>
      <c r="T11" s="8"/>
      <c r="U11" s="8"/>
      <c r="V11" s="8"/>
      <c r="W11" s="8"/>
      <c r="X11" s="8"/>
      <c r="Y11" s="8"/>
      <c r="Z11" s="8"/>
    </row>
    <row r="12">
      <c r="A12" s="10">
        <f t="shared" si="1"/>
        <v>11</v>
      </c>
      <c r="B12" s="11" t="s">
        <v>496</v>
      </c>
      <c r="C12" s="11" t="s">
        <v>497</v>
      </c>
      <c r="D12" s="11" t="s">
        <v>498</v>
      </c>
      <c r="E12" s="11" t="s">
        <v>499</v>
      </c>
      <c r="F12" s="11" t="s">
        <v>500</v>
      </c>
      <c r="G12" s="8"/>
      <c r="H12" s="8"/>
      <c r="I12" s="8"/>
      <c r="J12" s="8"/>
      <c r="K12" s="8"/>
      <c r="L12" s="8"/>
      <c r="M12" s="8"/>
      <c r="N12" s="8"/>
      <c r="O12" s="8"/>
      <c r="P12" s="8"/>
      <c r="Q12" s="8"/>
      <c r="R12" s="8"/>
      <c r="S12" s="8"/>
      <c r="T12" s="8"/>
      <c r="U12" s="8"/>
      <c r="V12" s="8"/>
      <c r="W12" s="8"/>
      <c r="X12" s="8"/>
      <c r="Y12" s="8"/>
      <c r="Z12" s="8"/>
    </row>
    <row r="13">
      <c r="A13" s="10">
        <f t="shared" si="1"/>
        <v>12</v>
      </c>
      <c r="B13" s="11" t="s">
        <v>501</v>
      </c>
      <c r="C13" s="11" t="s">
        <v>502</v>
      </c>
      <c r="D13" s="11" t="s">
        <v>503</v>
      </c>
      <c r="E13" s="11" t="s">
        <v>456</v>
      </c>
      <c r="F13" s="11" t="s">
        <v>504</v>
      </c>
      <c r="G13" s="8"/>
      <c r="H13" s="8"/>
      <c r="I13" s="8"/>
      <c r="J13" s="8"/>
      <c r="K13" s="8"/>
      <c r="L13" s="8"/>
      <c r="M13" s="8"/>
      <c r="N13" s="8"/>
      <c r="O13" s="8"/>
      <c r="P13" s="8"/>
      <c r="Q13" s="8"/>
      <c r="R13" s="8"/>
      <c r="S13" s="8"/>
      <c r="T13" s="8"/>
      <c r="U13" s="8"/>
      <c r="V13" s="8"/>
      <c r="W13" s="8"/>
      <c r="X13" s="8"/>
      <c r="Y13" s="8"/>
      <c r="Z13" s="8"/>
    </row>
    <row r="14">
      <c r="A14" s="10">
        <f t="shared" si="1"/>
        <v>13</v>
      </c>
      <c r="B14" s="11" t="s">
        <v>505</v>
      </c>
      <c r="C14" s="11" t="s">
        <v>506</v>
      </c>
      <c r="D14" s="11" t="s">
        <v>507</v>
      </c>
      <c r="E14" s="11" t="s">
        <v>456</v>
      </c>
      <c r="F14" s="11" t="s">
        <v>508</v>
      </c>
      <c r="G14" s="8"/>
      <c r="H14" s="8"/>
      <c r="I14" s="8"/>
      <c r="J14" s="8"/>
      <c r="K14" s="8"/>
      <c r="L14" s="8"/>
      <c r="M14" s="8"/>
      <c r="N14" s="8"/>
      <c r="O14" s="8"/>
      <c r="P14" s="8"/>
      <c r="Q14" s="8"/>
      <c r="R14" s="8"/>
      <c r="S14" s="8"/>
      <c r="T14" s="8"/>
      <c r="U14" s="8"/>
      <c r="V14" s="8"/>
      <c r="W14" s="8"/>
      <c r="X14" s="8"/>
      <c r="Y14" s="8"/>
      <c r="Z14" s="8"/>
    </row>
    <row r="15">
      <c r="A15" s="10">
        <f t="shared" si="1"/>
        <v>14</v>
      </c>
      <c r="B15" s="11" t="s">
        <v>509</v>
      </c>
      <c r="C15" s="11" t="s">
        <v>510</v>
      </c>
      <c r="D15" s="11" t="s">
        <v>511</v>
      </c>
      <c r="E15" s="11" t="s">
        <v>474</v>
      </c>
      <c r="F15" s="11" t="s">
        <v>512</v>
      </c>
      <c r="G15" s="8"/>
      <c r="H15" s="8"/>
      <c r="I15" s="8"/>
      <c r="J15" s="8"/>
      <c r="K15" s="8"/>
      <c r="L15" s="8"/>
      <c r="M15" s="8"/>
      <c r="N15" s="8"/>
      <c r="O15" s="8"/>
      <c r="P15" s="8"/>
      <c r="Q15" s="8"/>
      <c r="R15" s="8"/>
      <c r="S15" s="8"/>
      <c r="T15" s="8"/>
      <c r="U15" s="8"/>
      <c r="V15" s="8"/>
      <c r="W15" s="8"/>
      <c r="X15" s="8"/>
      <c r="Y15" s="8"/>
      <c r="Z15" s="8"/>
    </row>
    <row r="16">
      <c r="A16" s="10">
        <f t="shared" si="1"/>
        <v>15</v>
      </c>
      <c r="B16" s="11" t="s">
        <v>513</v>
      </c>
      <c r="C16" s="11" t="s">
        <v>514</v>
      </c>
      <c r="D16" s="11" t="s">
        <v>515</v>
      </c>
      <c r="E16" s="11" t="s">
        <v>474</v>
      </c>
      <c r="F16" s="11" t="s">
        <v>516</v>
      </c>
      <c r="G16" s="8"/>
      <c r="H16" s="8"/>
      <c r="I16" s="8"/>
      <c r="J16" s="8"/>
      <c r="K16" s="8"/>
      <c r="L16" s="8"/>
      <c r="M16" s="8"/>
      <c r="N16" s="8"/>
      <c r="O16" s="8"/>
      <c r="P16" s="8"/>
      <c r="Q16" s="8"/>
      <c r="R16" s="8"/>
      <c r="S16" s="8"/>
      <c r="T16" s="8"/>
      <c r="U16" s="8"/>
      <c r="V16" s="8"/>
      <c r="W16" s="8"/>
      <c r="X16" s="8"/>
      <c r="Y16" s="8"/>
      <c r="Z16" s="8"/>
    </row>
    <row r="17">
      <c r="A17" s="10">
        <f t="shared" si="1"/>
        <v>16</v>
      </c>
      <c r="B17" s="11" t="s">
        <v>517</v>
      </c>
      <c r="C17" s="11" t="s">
        <v>518</v>
      </c>
      <c r="D17" s="11" t="s">
        <v>519</v>
      </c>
      <c r="E17" s="11" t="s">
        <v>520</v>
      </c>
      <c r="F17" s="11" t="s">
        <v>521</v>
      </c>
      <c r="G17" s="8"/>
      <c r="H17" s="8"/>
      <c r="I17" s="8"/>
      <c r="J17" s="8"/>
      <c r="K17" s="8"/>
      <c r="L17" s="8"/>
      <c r="M17" s="8"/>
      <c r="N17" s="8"/>
      <c r="O17" s="8"/>
      <c r="P17" s="8"/>
      <c r="Q17" s="8"/>
      <c r="R17" s="8"/>
      <c r="S17" s="8"/>
      <c r="T17" s="8"/>
      <c r="U17" s="8"/>
      <c r="V17" s="8"/>
      <c r="W17" s="8"/>
      <c r="X17" s="8"/>
      <c r="Y17" s="8"/>
      <c r="Z17" s="8"/>
    </row>
    <row r="18">
      <c r="A18" s="10">
        <f t="shared" si="1"/>
        <v>17</v>
      </c>
      <c r="B18" s="11" t="s">
        <v>522</v>
      </c>
      <c r="C18" s="11" t="s">
        <v>523</v>
      </c>
      <c r="D18" s="11" t="s">
        <v>524</v>
      </c>
      <c r="E18" s="11" t="s">
        <v>520</v>
      </c>
      <c r="F18" s="11" t="s">
        <v>525</v>
      </c>
      <c r="G18" s="8"/>
      <c r="H18" s="8"/>
      <c r="I18" s="8"/>
      <c r="J18" s="8"/>
      <c r="K18" s="8"/>
      <c r="L18" s="8"/>
      <c r="M18" s="8"/>
      <c r="N18" s="8"/>
      <c r="O18" s="8"/>
      <c r="P18" s="8"/>
      <c r="Q18" s="8"/>
      <c r="R18" s="8"/>
      <c r="S18" s="8"/>
      <c r="T18" s="8"/>
      <c r="U18" s="8"/>
      <c r="V18" s="8"/>
      <c r="W18" s="8"/>
      <c r="X18" s="8"/>
      <c r="Y18" s="8"/>
      <c r="Z18" s="8"/>
    </row>
    <row r="19">
      <c r="A19" s="10">
        <f t="shared" si="1"/>
        <v>18</v>
      </c>
      <c r="B19" s="11" t="s">
        <v>526</v>
      </c>
      <c r="C19" s="11" t="s">
        <v>527</v>
      </c>
      <c r="D19" s="11" t="s">
        <v>528</v>
      </c>
      <c r="E19" s="11" t="s">
        <v>456</v>
      </c>
      <c r="F19" s="11" t="s">
        <v>529</v>
      </c>
      <c r="G19" s="8"/>
      <c r="H19" s="8"/>
      <c r="I19" s="8"/>
      <c r="J19" s="8"/>
      <c r="K19" s="8"/>
      <c r="L19" s="8"/>
      <c r="M19" s="8"/>
      <c r="N19" s="8"/>
      <c r="O19" s="8"/>
      <c r="P19" s="8"/>
      <c r="Q19" s="8"/>
      <c r="R19" s="8"/>
      <c r="S19" s="8"/>
      <c r="T19" s="8"/>
      <c r="U19" s="8"/>
      <c r="V19" s="8"/>
      <c r="W19" s="8"/>
      <c r="X19" s="8"/>
      <c r="Y19" s="8"/>
      <c r="Z19" s="8"/>
    </row>
    <row r="20">
      <c r="A20" s="10">
        <f t="shared" si="1"/>
        <v>19</v>
      </c>
      <c r="B20" s="11" t="s">
        <v>530</v>
      </c>
      <c r="C20" s="11" t="s">
        <v>531</v>
      </c>
      <c r="D20" s="11" t="s">
        <v>532</v>
      </c>
      <c r="E20" s="11" t="s">
        <v>456</v>
      </c>
      <c r="F20" s="11" t="s">
        <v>533</v>
      </c>
      <c r="G20" s="8"/>
      <c r="H20" s="8"/>
      <c r="I20" s="8"/>
      <c r="J20" s="8"/>
      <c r="K20" s="8"/>
      <c r="L20" s="8"/>
      <c r="M20" s="8"/>
      <c r="N20" s="8"/>
      <c r="O20" s="8"/>
      <c r="P20" s="8"/>
      <c r="Q20" s="8"/>
      <c r="R20" s="8"/>
      <c r="S20" s="8"/>
      <c r="T20" s="8"/>
      <c r="U20" s="8"/>
      <c r="V20" s="8"/>
      <c r="W20" s="8"/>
      <c r="X20" s="8"/>
      <c r="Y20" s="8"/>
      <c r="Z20" s="8"/>
    </row>
    <row r="21">
      <c r="A21" s="10">
        <f t="shared" si="1"/>
        <v>20</v>
      </c>
      <c r="B21" s="11" t="s">
        <v>534</v>
      </c>
      <c r="C21" s="11" t="s">
        <v>535</v>
      </c>
      <c r="D21" s="11" t="s">
        <v>536</v>
      </c>
      <c r="E21" s="11" t="s">
        <v>537</v>
      </c>
      <c r="F21" s="11" t="s">
        <v>538</v>
      </c>
      <c r="G21" s="8"/>
      <c r="H21" s="8"/>
      <c r="I21" s="8"/>
      <c r="J21" s="8"/>
      <c r="K21" s="8"/>
      <c r="L21" s="8"/>
      <c r="M21" s="8"/>
      <c r="N21" s="8"/>
      <c r="O21" s="8"/>
      <c r="P21" s="8"/>
      <c r="Q21" s="8"/>
      <c r="R21" s="8"/>
      <c r="S21" s="8"/>
      <c r="T21" s="8"/>
      <c r="U21" s="8"/>
      <c r="V21" s="8"/>
      <c r="W21" s="8"/>
      <c r="X21" s="8"/>
      <c r="Y21" s="8"/>
      <c r="Z21" s="8"/>
    </row>
    <row r="22">
      <c r="A22" s="10">
        <f t="shared" si="1"/>
        <v>21</v>
      </c>
      <c r="B22" s="11" t="s">
        <v>539</v>
      </c>
      <c r="C22" s="11" t="s">
        <v>540</v>
      </c>
      <c r="D22" s="11" t="s">
        <v>541</v>
      </c>
      <c r="E22" s="11" t="s">
        <v>537</v>
      </c>
      <c r="F22" s="11" t="s">
        <v>542</v>
      </c>
      <c r="G22" s="8"/>
      <c r="H22" s="8"/>
      <c r="I22" s="8"/>
      <c r="J22" s="8"/>
      <c r="K22" s="8"/>
      <c r="L22" s="8"/>
      <c r="M22" s="8"/>
      <c r="N22" s="8"/>
      <c r="O22" s="8"/>
      <c r="P22" s="8"/>
      <c r="Q22" s="8"/>
      <c r="R22" s="8"/>
      <c r="S22" s="8"/>
      <c r="T22" s="8"/>
      <c r="U22" s="8"/>
      <c r="V22" s="8"/>
      <c r="W22" s="8"/>
      <c r="X22" s="8"/>
      <c r="Y22" s="8"/>
      <c r="Z22" s="8"/>
    </row>
    <row r="23">
      <c r="A23" s="10">
        <f t="shared" si="1"/>
        <v>22</v>
      </c>
      <c r="B23" s="11" t="s">
        <v>543</v>
      </c>
      <c r="C23" s="11" t="s">
        <v>544</v>
      </c>
      <c r="D23" s="11" t="s">
        <v>545</v>
      </c>
      <c r="E23" s="11" t="s">
        <v>546</v>
      </c>
      <c r="F23" s="11" t="s">
        <v>547</v>
      </c>
      <c r="G23" s="8"/>
      <c r="H23" s="8"/>
      <c r="I23" s="8"/>
      <c r="J23" s="8"/>
      <c r="K23" s="8"/>
      <c r="L23" s="8"/>
      <c r="M23" s="8"/>
      <c r="N23" s="8"/>
      <c r="O23" s="8"/>
      <c r="P23" s="8"/>
      <c r="Q23" s="8"/>
      <c r="R23" s="8"/>
      <c r="S23" s="8"/>
      <c r="T23" s="8"/>
      <c r="U23" s="8"/>
      <c r="V23" s="8"/>
      <c r="W23" s="8"/>
      <c r="X23" s="8"/>
      <c r="Y23" s="8"/>
      <c r="Z23" s="8"/>
    </row>
    <row r="24">
      <c r="A24" s="10">
        <f t="shared" si="1"/>
        <v>23</v>
      </c>
      <c r="B24" s="11" t="s">
        <v>548</v>
      </c>
      <c r="C24" s="11" t="s">
        <v>549</v>
      </c>
      <c r="D24" s="11" t="s">
        <v>550</v>
      </c>
      <c r="E24" s="16" t="s">
        <v>551</v>
      </c>
      <c r="F24" s="11" t="s">
        <v>552</v>
      </c>
      <c r="G24" s="8"/>
      <c r="H24" s="8"/>
      <c r="I24" s="8"/>
      <c r="J24" s="8"/>
      <c r="K24" s="8"/>
      <c r="L24" s="8"/>
      <c r="M24" s="8"/>
      <c r="N24" s="8"/>
      <c r="O24" s="8"/>
      <c r="P24" s="8"/>
      <c r="Q24" s="8"/>
      <c r="R24" s="8"/>
      <c r="S24" s="8"/>
      <c r="T24" s="8"/>
      <c r="U24" s="8"/>
      <c r="V24" s="8"/>
      <c r="W24" s="8"/>
      <c r="X24" s="8"/>
      <c r="Y24" s="8"/>
      <c r="Z24" s="8"/>
    </row>
    <row r="25">
      <c r="A25" s="10">
        <f t="shared" si="1"/>
        <v>24</v>
      </c>
      <c r="B25" s="11" t="s">
        <v>553</v>
      </c>
      <c r="C25" s="11" t="s">
        <v>554</v>
      </c>
      <c r="D25" s="11" t="s">
        <v>555</v>
      </c>
      <c r="E25" s="11" t="s">
        <v>474</v>
      </c>
      <c r="F25" s="11" t="s">
        <v>556</v>
      </c>
      <c r="G25" s="8"/>
      <c r="H25" s="8"/>
      <c r="I25" s="8"/>
      <c r="J25" s="8"/>
      <c r="K25" s="8"/>
      <c r="L25" s="8"/>
      <c r="M25" s="8"/>
      <c r="N25" s="8"/>
      <c r="O25" s="8"/>
      <c r="P25" s="8"/>
      <c r="Q25" s="8"/>
      <c r="R25" s="8"/>
      <c r="S25" s="8"/>
      <c r="T25" s="8"/>
      <c r="U25" s="8"/>
      <c r="V25" s="8"/>
      <c r="W25" s="8"/>
      <c r="X25" s="8"/>
      <c r="Y25" s="8"/>
      <c r="Z25" s="8"/>
    </row>
    <row r="26">
      <c r="A26" s="10">
        <f t="shared" si="1"/>
        <v>25</v>
      </c>
      <c r="B26" s="11" t="s">
        <v>557</v>
      </c>
      <c r="C26" s="11" t="s">
        <v>558</v>
      </c>
      <c r="D26" s="11" t="s">
        <v>559</v>
      </c>
      <c r="E26" s="11" t="s">
        <v>474</v>
      </c>
      <c r="F26" s="11" t="s">
        <v>560</v>
      </c>
      <c r="G26" s="8"/>
      <c r="H26" s="8"/>
      <c r="I26" s="8"/>
      <c r="J26" s="8"/>
      <c r="K26" s="8"/>
      <c r="L26" s="8"/>
      <c r="M26" s="8"/>
      <c r="N26" s="8"/>
      <c r="O26" s="8"/>
      <c r="P26" s="8"/>
      <c r="Q26" s="8"/>
      <c r="R26" s="8"/>
      <c r="S26" s="8"/>
      <c r="T26" s="8"/>
      <c r="U26" s="8"/>
      <c r="V26" s="8"/>
      <c r="W26" s="8"/>
      <c r="X26" s="8"/>
      <c r="Y26" s="8"/>
      <c r="Z26" s="8"/>
    </row>
    <row r="27">
      <c r="A27" s="10">
        <f t="shared" si="1"/>
        <v>26</v>
      </c>
      <c r="B27" s="11" t="s">
        <v>561</v>
      </c>
      <c r="C27" s="11" t="s">
        <v>562</v>
      </c>
      <c r="D27" s="11" t="s">
        <v>563</v>
      </c>
      <c r="E27" s="11" t="s">
        <v>456</v>
      </c>
      <c r="F27" s="11" t="s">
        <v>564</v>
      </c>
      <c r="G27" s="8"/>
      <c r="H27" s="8"/>
      <c r="I27" s="8"/>
      <c r="J27" s="8"/>
      <c r="K27" s="8"/>
      <c r="L27" s="8"/>
      <c r="M27" s="8"/>
      <c r="N27" s="8"/>
      <c r="O27" s="8"/>
      <c r="P27" s="8"/>
      <c r="Q27" s="8"/>
      <c r="R27" s="8"/>
      <c r="S27" s="8"/>
      <c r="T27" s="8"/>
      <c r="U27" s="8"/>
      <c r="V27" s="8"/>
      <c r="W27" s="8"/>
      <c r="X27" s="8"/>
      <c r="Y27" s="8"/>
      <c r="Z27" s="8"/>
    </row>
    <row r="28">
      <c r="A28" s="10">
        <f t="shared" si="1"/>
        <v>27</v>
      </c>
      <c r="B28" s="11" t="s">
        <v>565</v>
      </c>
      <c r="C28" s="11" t="s">
        <v>566</v>
      </c>
      <c r="D28" s="11" t="s">
        <v>567</v>
      </c>
      <c r="E28" s="11" t="s">
        <v>456</v>
      </c>
      <c r="F28" s="11" t="s">
        <v>568</v>
      </c>
      <c r="G28" s="8"/>
      <c r="H28" s="8"/>
      <c r="I28" s="8"/>
      <c r="J28" s="8"/>
      <c r="K28" s="8"/>
      <c r="L28" s="8"/>
      <c r="M28" s="8"/>
      <c r="N28" s="8"/>
      <c r="O28" s="8"/>
      <c r="P28" s="8"/>
      <c r="Q28" s="8"/>
      <c r="R28" s="8"/>
      <c r="S28" s="8"/>
      <c r="T28" s="8"/>
      <c r="U28" s="8"/>
      <c r="V28" s="8"/>
      <c r="W28" s="8"/>
      <c r="X28" s="8"/>
      <c r="Y28" s="8"/>
      <c r="Z28" s="8"/>
    </row>
    <row r="29">
      <c r="A29" s="10">
        <f t="shared" si="1"/>
        <v>28</v>
      </c>
      <c r="B29" s="11" t="s">
        <v>569</v>
      </c>
      <c r="C29" s="11" t="s">
        <v>570</v>
      </c>
      <c r="D29" s="11" t="s">
        <v>571</v>
      </c>
      <c r="E29" s="11" t="s">
        <v>456</v>
      </c>
      <c r="F29" s="11" t="s">
        <v>572</v>
      </c>
      <c r="G29" s="8"/>
      <c r="H29" s="8"/>
      <c r="I29" s="8"/>
      <c r="J29" s="8"/>
      <c r="K29" s="8"/>
      <c r="L29" s="8"/>
      <c r="M29" s="8"/>
      <c r="N29" s="8"/>
      <c r="O29" s="8"/>
      <c r="P29" s="8"/>
      <c r="Q29" s="8"/>
      <c r="R29" s="8"/>
      <c r="S29" s="8"/>
      <c r="T29" s="8"/>
      <c r="U29" s="8"/>
      <c r="V29" s="8"/>
      <c r="W29" s="8"/>
      <c r="X29" s="8"/>
      <c r="Y29" s="8"/>
      <c r="Z29" s="8"/>
    </row>
    <row r="30">
      <c r="A30" s="10">
        <f t="shared" si="1"/>
        <v>29</v>
      </c>
      <c r="B30" s="11" t="s">
        <v>573</v>
      </c>
      <c r="C30" s="11" t="s">
        <v>574</v>
      </c>
      <c r="D30" s="11" t="s">
        <v>575</v>
      </c>
      <c r="E30" s="11" t="s">
        <v>456</v>
      </c>
      <c r="F30" s="11" t="s">
        <v>576</v>
      </c>
      <c r="G30" s="8"/>
      <c r="H30" s="8"/>
      <c r="I30" s="8"/>
      <c r="J30" s="8"/>
      <c r="K30" s="8"/>
      <c r="L30" s="8"/>
      <c r="M30" s="8"/>
      <c r="N30" s="8"/>
      <c r="O30" s="8"/>
      <c r="P30" s="8"/>
      <c r="Q30" s="8"/>
      <c r="R30" s="8"/>
      <c r="S30" s="8"/>
      <c r="T30" s="8"/>
      <c r="U30" s="8"/>
      <c r="V30" s="8"/>
      <c r="W30" s="8"/>
      <c r="X30" s="8"/>
      <c r="Y30" s="8"/>
      <c r="Z30" s="8"/>
    </row>
    <row r="31">
      <c r="A31" s="10">
        <f t="shared" si="1"/>
        <v>30</v>
      </c>
      <c r="B31" s="11" t="s">
        <v>577</v>
      </c>
      <c r="C31" s="11" t="s">
        <v>578</v>
      </c>
      <c r="D31" s="11" t="s">
        <v>579</v>
      </c>
      <c r="E31" s="11" t="s">
        <v>474</v>
      </c>
      <c r="F31" s="11" t="s">
        <v>580</v>
      </c>
      <c r="G31" s="8"/>
      <c r="H31" s="8"/>
      <c r="I31" s="8"/>
      <c r="J31" s="8"/>
      <c r="K31" s="8"/>
      <c r="L31" s="8"/>
      <c r="M31" s="8"/>
      <c r="N31" s="8"/>
      <c r="O31" s="8"/>
      <c r="P31" s="8"/>
      <c r="Q31" s="8"/>
      <c r="R31" s="8"/>
      <c r="S31" s="8"/>
      <c r="T31" s="8"/>
      <c r="U31" s="8"/>
      <c r="V31" s="8"/>
      <c r="W31" s="8"/>
      <c r="X31" s="8"/>
      <c r="Y31" s="8"/>
      <c r="Z31" s="8"/>
    </row>
    <row r="32">
      <c r="A32" s="10">
        <f t="shared" si="1"/>
        <v>31</v>
      </c>
      <c r="B32" s="11" t="s">
        <v>581</v>
      </c>
      <c r="C32" s="11" t="s">
        <v>582</v>
      </c>
      <c r="D32" s="11" t="s">
        <v>583</v>
      </c>
      <c r="E32" s="11" t="s">
        <v>584</v>
      </c>
      <c r="F32" s="11" t="s">
        <v>585</v>
      </c>
      <c r="G32" s="8"/>
      <c r="H32" s="8"/>
      <c r="I32" s="8"/>
      <c r="J32" s="8"/>
      <c r="K32" s="8"/>
      <c r="L32" s="8"/>
      <c r="M32" s="8"/>
      <c r="N32" s="8"/>
      <c r="O32" s="8"/>
      <c r="P32" s="8"/>
      <c r="Q32" s="8"/>
      <c r="R32" s="8"/>
      <c r="S32" s="8"/>
      <c r="T32" s="8"/>
      <c r="U32" s="8"/>
      <c r="V32" s="8"/>
      <c r="W32" s="8"/>
      <c r="X32" s="8"/>
      <c r="Y32" s="8"/>
      <c r="Z32" s="8"/>
    </row>
    <row r="33">
      <c r="A33" s="10">
        <f t="shared" si="1"/>
        <v>32</v>
      </c>
      <c r="B33" s="11" t="s">
        <v>586</v>
      </c>
      <c r="C33" s="11" t="s">
        <v>587</v>
      </c>
      <c r="D33" s="11" t="s">
        <v>588</v>
      </c>
      <c r="E33" s="11" t="s">
        <v>456</v>
      </c>
      <c r="F33" s="11" t="s">
        <v>589</v>
      </c>
      <c r="G33" s="8"/>
      <c r="H33" s="8"/>
      <c r="I33" s="8"/>
      <c r="J33" s="8"/>
      <c r="K33" s="8"/>
      <c r="L33" s="8"/>
      <c r="M33" s="8"/>
      <c r="N33" s="8"/>
      <c r="O33" s="8"/>
      <c r="P33" s="8"/>
      <c r="Q33" s="8"/>
      <c r="R33" s="8"/>
      <c r="S33" s="8"/>
      <c r="T33" s="8"/>
      <c r="U33" s="8"/>
      <c r="V33" s="8"/>
      <c r="W33" s="8"/>
      <c r="X33" s="8"/>
      <c r="Y33" s="8"/>
      <c r="Z33" s="8"/>
    </row>
    <row r="34">
      <c r="A34" s="10">
        <f t="shared" si="1"/>
        <v>33</v>
      </c>
      <c r="B34" s="11" t="s">
        <v>590</v>
      </c>
      <c r="C34" s="11" t="s">
        <v>591</v>
      </c>
      <c r="D34" s="11" t="s">
        <v>592</v>
      </c>
      <c r="E34" s="11" t="s">
        <v>456</v>
      </c>
      <c r="F34" s="11" t="s">
        <v>593</v>
      </c>
      <c r="G34" s="8"/>
      <c r="H34" s="8"/>
      <c r="I34" s="8"/>
      <c r="J34" s="8"/>
      <c r="K34" s="8"/>
      <c r="L34" s="8"/>
      <c r="M34" s="8"/>
      <c r="N34" s="8"/>
      <c r="O34" s="8"/>
      <c r="P34" s="8"/>
      <c r="Q34" s="8"/>
      <c r="R34" s="8"/>
      <c r="S34" s="8"/>
      <c r="T34" s="8"/>
      <c r="U34" s="8"/>
      <c r="V34" s="8"/>
      <c r="W34" s="8"/>
      <c r="X34" s="8"/>
      <c r="Y34" s="8"/>
      <c r="Z34" s="8"/>
    </row>
    <row r="35">
      <c r="A35" s="10">
        <f t="shared" si="1"/>
        <v>34</v>
      </c>
      <c r="B35" s="11" t="s">
        <v>594</v>
      </c>
      <c r="C35" s="11" t="s">
        <v>595</v>
      </c>
      <c r="D35" s="11" t="s">
        <v>596</v>
      </c>
      <c r="E35" s="11" t="s">
        <v>456</v>
      </c>
      <c r="F35" s="11" t="s">
        <v>597</v>
      </c>
      <c r="G35" s="8"/>
      <c r="H35" s="8"/>
      <c r="I35" s="8"/>
      <c r="J35" s="8"/>
      <c r="K35" s="8"/>
      <c r="L35" s="8"/>
      <c r="M35" s="8"/>
      <c r="N35" s="8"/>
      <c r="O35" s="8"/>
      <c r="P35" s="8"/>
      <c r="Q35" s="8"/>
      <c r="R35" s="8"/>
      <c r="S35" s="8"/>
      <c r="T35" s="8"/>
      <c r="U35" s="8"/>
      <c r="V35" s="8"/>
      <c r="W35" s="8"/>
      <c r="X35" s="8"/>
      <c r="Y35" s="8"/>
      <c r="Z35" s="8"/>
    </row>
    <row r="36">
      <c r="A36" s="10">
        <f t="shared" si="1"/>
        <v>35</v>
      </c>
      <c r="B36" s="11" t="s">
        <v>598</v>
      </c>
      <c r="C36" s="11" t="s">
        <v>599</v>
      </c>
      <c r="D36" s="11" t="s">
        <v>600</v>
      </c>
      <c r="E36" s="11" t="s">
        <v>456</v>
      </c>
      <c r="F36" s="11" t="s">
        <v>601</v>
      </c>
      <c r="G36" s="8"/>
      <c r="H36" s="8"/>
      <c r="I36" s="8"/>
      <c r="J36" s="8"/>
      <c r="K36" s="8"/>
      <c r="L36" s="8"/>
      <c r="M36" s="8"/>
      <c r="N36" s="8"/>
      <c r="O36" s="8"/>
      <c r="P36" s="8"/>
      <c r="Q36" s="8"/>
      <c r="R36" s="8"/>
      <c r="S36" s="8"/>
      <c r="T36" s="8"/>
      <c r="U36" s="8"/>
      <c r="V36" s="8"/>
      <c r="W36" s="8"/>
      <c r="X36" s="8"/>
      <c r="Y36" s="8"/>
      <c r="Z36" s="8"/>
    </row>
    <row r="37">
      <c r="A37" s="10">
        <f t="shared" si="1"/>
        <v>36</v>
      </c>
      <c r="B37" s="11" t="s">
        <v>602</v>
      </c>
      <c r="C37" s="11" t="s">
        <v>603</v>
      </c>
      <c r="D37" s="11" t="s">
        <v>604</v>
      </c>
      <c r="E37" s="11" t="s">
        <v>474</v>
      </c>
      <c r="F37" s="11" t="s">
        <v>605</v>
      </c>
      <c r="G37" s="8"/>
      <c r="H37" s="8"/>
      <c r="I37" s="8"/>
      <c r="J37" s="8"/>
      <c r="K37" s="8"/>
      <c r="L37" s="8"/>
      <c r="M37" s="8"/>
      <c r="N37" s="8"/>
      <c r="O37" s="8"/>
      <c r="P37" s="8"/>
      <c r="Q37" s="8"/>
      <c r="R37" s="8"/>
      <c r="S37" s="8"/>
      <c r="T37" s="8"/>
      <c r="U37" s="8"/>
      <c r="V37" s="8"/>
      <c r="W37" s="8"/>
      <c r="X37" s="8"/>
      <c r="Y37" s="8"/>
      <c r="Z37" s="8"/>
    </row>
    <row r="38">
      <c r="A38" s="10">
        <f t="shared" si="1"/>
        <v>37</v>
      </c>
      <c r="B38" s="11" t="s">
        <v>606</v>
      </c>
      <c r="C38" s="11" t="s">
        <v>607</v>
      </c>
      <c r="D38" s="11" t="s">
        <v>608</v>
      </c>
      <c r="E38" s="11" t="s">
        <v>609</v>
      </c>
      <c r="F38" s="11" t="s">
        <v>610</v>
      </c>
      <c r="G38" s="8"/>
      <c r="H38" s="8"/>
      <c r="I38" s="8"/>
      <c r="J38" s="8"/>
      <c r="K38" s="8"/>
      <c r="L38" s="8"/>
      <c r="M38" s="8"/>
      <c r="N38" s="8"/>
      <c r="O38" s="8"/>
      <c r="P38" s="8"/>
      <c r="Q38" s="8"/>
      <c r="R38" s="8"/>
      <c r="S38" s="8"/>
      <c r="T38" s="8"/>
      <c r="U38" s="8"/>
      <c r="V38" s="8"/>
      <c r="W38" s="8"/>
      <c r="X38" s="8"/>
      <c r="Y38" s="8"/>
      <c r="Z38" s="8"/>
    </row>
    <row r="39">
      <c r="A39" s="10">
        <f t="shared" si="1"/>
        <v>38</v>
      </c>
      <c r="B39" s="11" t="s">
        <v>611</v>
      </c>
      <c r="C39" s="11" t="s">
        <v>612</v>
      </c>
      <c r="D39" s="11" t="s">
        <v>613</v>
      </c>
      <c r="E39" s="11" t="s">
        <v>614</v>
      </c>
      <c r="F39" s="11" t="s">
        <v>615</v>
      </c>
      <c r="G39" s="8"/>
      <c r="H39" s="8"/>
      <c r="I39" s="8"/>
      <c r="J39" s="8"/>
      <c r="K39" s="8"/>
      <c r="L39" s="8"/>
      <c r="M39" s="8"/>
      <c r="N39" s="8"/>
      <c r="O39" s="8"/>
      <c r="P39" s="8"/>
      <c r="Q39" s="8"/>
      <c r="R39" s="8"/>
      <c r="S39" s="8"/>
      <c r="T39" s="8"/>
      <c r="U39" s="8"/>
      <c r="V39" s="8"/>
      <c r="W39" s="8"/>
      <c r="X39" s="8"/>
      <c r="Y39" s="8"/>
      <c r="Z39" s="8"/>
    </row>
    <row r="40">
      <c r="A40" s="10">
        <f t="shared" si="1"/>
        <v>39</v>
      </c>
      <c r="B40" s="11" t="s">
        <v>616</v>
      </c>
      <c r="C40" s="11" t="s">
        <v>617</v>
      </c>
      <c r="D40" s="11" t="s">
        <v>618</v>
      </c>
      <c r="E40" s="11" t="s">
        <v>619</v>
      </c>
      <c r="F40" s="11" t="s">
        <v>620</v>
      </c>
      <c r="G40" s="8"/>
      <c r="H40" s="8"/>
      <c r="I40" s="8"/>
      <c r="J40" s="8"/>
      <c r="K40" s="8"/>
      <c r="L40" s="8"/>
      <c r="M40" s="8"/>
      <c r="N40" s="8"/>
      <c r="O40" s="8"/>
      <c r="P40" s="8"/>
      <c r="Q40" s="8"/>
      <c r="R40" s="8"/>
      <c r="S40" s="8"/>
      <c r="T40" s="8"/>
      <c r="U40" s="8"/>
      <c r="V40" s="8"/>
      <c r="W40" s="8"/>
      <c r="X40" s="8"/>
      <c r="Y40" s="8"/>
      <c r="Z40" s="8"/>
    </row>
    <row r="41">
      <c r="A41" s="10">
        <f t="shared" si="1"/>
        <v>40</v>
      </c>
      <c r="B41" s="11" t="s">
        <v>621</v>
      </c>
      <c r="C41" s="11" t="s">
        <v>622</v>
      </c>
      <c r="D41" s="11" t="s">
        <v>623</v>
      </c>
      <c r="E41" s="11" t="s">
        <v>624</v>
      </c>
      <c r="F41" s="11" t="s">
        <v>625</v>
      </c>
      <c r="G41" s="8"/>
      <c r="H41" s="8"/>
      <c r="I41" s="8"/>
      <c r="J41" s="8"/>
      <c r="K41" s="8"/>
      <c r="L41" s="8"/>
      <c r="M41" s="8"/>
      <c r="N41" s="8"/>
      <c r="O41" s="8"/>
      <c r="P41" s="8"/>
      <c r="Q41" s="8"/>
      <c r="R41" s="8"/>
      <c r="S41" s="8"/>
      <c r="T41" s="8"/>
      <c r="U41" s="8"/>
      <c r="V41" s="8"/>
      <c r="W41" s="8"/>
      <c r="X41" s="8"/>
      <c r="Y41" s="8"/>
      <c r="Z41" s="8"/>
    </row>
    <row r="42">
      <c r="A42" s="10">
        <f t="shared" si="1"/>
        <v>41</v>
      </c>
      <c r="B42" s="11" t="s">
        <v>626</v>
      </c>
      <c r="C42" s="11" t="s">
        <v>627</v>
      </c>
      <c r="D42" s="11" t="s">
        <v>628</v>
      </c>
      <c r="E42" s="16" t="s">
        <v>629</v>
      </c>
      <c r="F42" s="11" t="s">
        <v>630</v>
      </c>
      <c r="G42" s="8"/>
      <c r="H42" s="8"/>
      <c r="I42" s="8"/>
      <c r="J42" s="8"/>
      <c r="K42" s="8"/>
      <c r="L42" s="8"/>
      <c r="M42" s="8"/>
      <c r="N42" s="8"/>
      <c r="O42" s="8"/>
      <c r="P42" s="8"/>
      <c r="Q42" s="8"/>
      <c r="R42" s="8"/>
      <c r="S42" s="8"/>
      <c r="T42" s="8"/>
      <c r="U42" s="8"/>
      <c r="V42" s="8"/>
      <c r="W42" s="8"/>
      <c r="X42" s="8"/>
      <c r="Y42" s="8"/>
      <c r="Z42" s="8"/>
    </row>
    <row r="43">
      <c r="A43" s="10">
        <f t="shared" si="1"/>
        <v>42</v>
      </c>
      <c r="B43" s="11" t="s">
        <v>631</v>
      </c>
      <c r="C43" s="11" t="s">
        <v>632</v>
      </c>
      <c r="D43" s="11" t="s">
        <v>633</v>
      </c>
      <c r="E43" s="11" t="s">
        <v>456</v>
      </c>
      <c r="F43" s="11" t="s">
        <v>634</v>
      </c>
      <c r="G43" s="8"/>
      <c r="H43" s="8"/>
      <c r="I43" s="8"/>
      <c r="J43" s="8"/>
      <c r="K43" s="8"/>
      <c r="L43" s="8"/>
      <c r="M43" s="8"/>
      <c r="N43" s="8"/>
      <c r="O43" s="8"/>
      <c r="P43" s="8"/>
      <c r="Q43" s="8"/>
      <c r="R43" s="8"/>
      <c r="S43" s="8"/>
      <c r="T43" s="8"/>
      <c r="U43" s="8"/>
      <c r="V43" s="8"/>
      <c r="W43" s="8"/>
      <c r="X43" s="8"/>
      <c r="Y43" s="8"/>
      <c r="Z43" s="8"/>
    </row>
    <row r="44">
      <c r="A44" s="10">
        <f t="shared" si="1"/>
        <v>43</v>
      </c>
      <c r="B44" s="11" t="s">
        <v>635</v>
      </c>
      <c r="C44" s="11" t="s">
        <v>636</v>
      </c>
      <c r="D44" s="11" t="s">
        <v>637</v>
      </c>
      <c r="E44" s="11" t="s">
        <v>638</v>
      </c>
      <c r="F44" s="11" t="s">
        <v>639</v>
      </c>
      <c r="G44" s="8"/>
      <c r="H44" s="8"/>
      <c r="I44" s="8"/>
      <c r="J44" s="8"/>
      <c r="K44" s="8"/>
      <c r="L44" s="8"/>
      <c r="M44" s="8"/>
      <c r="N44" s="8"/>
      <c r="O44" s="8"/>
      <c r="P44" s="8"/>
      <c r="Q44" s="8"/>
      <c r="R44" s="8"/>
      <c r="S44" s="8"/>
      <c r="T44" s="8"/>
      <c r="U44" s="8"/>
      <c r="V44" s="8"/>
      <c r="W44" s="8"/>
      <c r="X44" s="8"/>
      <c r="Y44" s="8"/>
      <c r="Z44" s="8"/>
    </row>
    <row r="45">
      <c r="A45" s="10">
        <f t="shared" si="1"/>
        <v>44</v>
      </c>
      <c r="B45" s="11" t="s">
        <v>640</v>
      </c>
      <c r="C45" s="11" t="s">
        <v>641</v>
      </c>
      <c r="D45" s="11" t="s">
        <v>642</v>
      </c>
      <c r="E45" s="11" t="s">
        <v>456</v>
      </c>
      <c r="F45" s="11" t="s">
        <v>643</v>
      </c>
      <c r="G45" s="8"/>
      <c r="H45" s="8"/>
      <c r="I45" s="8"/>
      <c r="J45" s="8"/>
      <c r="K45" s="8"/>
      <c r="L45" s="8"/>
      <c r="M45" s="8"/>
      <c r="N45" s="8"/>
      <c r="O45" s="8"/>
      <c r="P45" s="8"/>
      <c r="Q45" s="8"/>
      <c r="R45" s="8"/>
      <c r="S45" s="8"/>
      <c r="T45" s="8"/>
      <c r="U45" s="8"/>
      <c r="V45" s="8"/>
      <c r="W45" s="8"/>
      <c r="X45" s="8"/>
      <c r="Y45" s="8"/>
      <c r="Z45" s="8"/>
    </row>
    <row r="46">
      <c r="A46" s="10">
        <f t="shared" si="1"/>
        <v>45</v>
      </c>
      <c r="B46" s="11" t="s">
        <v>644</v>
      </c>
      <c r="C46" s="11" t="s">
        <v>645</v>
      </c>
      <c r="D46" s="11" t="s">
        <v>646</v>
      </c>
      <c r="E46" s="11" t="s">
        <v>456</v>
      </c>
      <c r="F46" s="11" t="s">
        <v>647</v>
      </c>
      <c r="G46" s="8"/>
      <c r="H46" s="8"/>
      <c r="I46" s="8"/>
      <c r="J46" s="8"/>
      <c r="K46" s="8"/>
      <c r="L46" s="8"/>
      <c r="M46" s="8"/>
      <c r="N46" s="8"/>
      <c r="O46" s="8"/>
      <c r="P46" s="8"/>
      <c r="Q46" s="8"/>
      <c r="R46" s="8"/>
      <c r="S46" s="8"/>
      <c r="T46" s="8"/>
      <c r="U46" s="8"/>
      <c r="V46" s="8"/>
      <c r="W46" s="8"/>
      <c r="X46" s="8"/>
      <c r="Y46" s="8"/>
      <c r="Z46" s="8"/>
    </row>
    <row r="47">
      <c r="A47" s="10">
        <f t="shared" si="1"/>
        <v>46</v>
      </c>
      <c r="B47" s="11" t="s">
        <v>648</v>
      </c>
      <c r="C47" s="11" t="s">
        <v>649</v>
      </c>
      <c r="D47" s="11" t="s">
        <v>650</v>
      </c>
      <c r="E47" s="11" t="s">
        <v>456</v>
      </c>
      <c r="F47" s="11" t="s">
        <v>651</v>
      </c>
      <c r="G47" s="8"/>
      <c r="H47" s="8"/>
      <c r="I47" s="8"/>
      <c r="J47" s="8"/>
      <c r="K47" s="8"/>
      <c r="L47" s="8"/>
      <c r="M47" s="8"/>
      <c r="N47" s="8"/>
      <c r="O47" s="8"/>
      <c r="P47" s="8"/>
      <c r="Q47" s="8"/>
      <c r="R47" s="8"/>
      <c r="S47" s="8"/>
      <c r="T47" s="8"/>
      <c r="U47" s="8"/>
      <c r="V47" s="8"/>
      <c r="W47" s="8"/>
      <c r="X47" s="8"/>
      <c r="Y47" s="8"/>
      <c r="Z47" s="8"/>
    </row>
    <row r="48">
      <c r="A48" s="10">
        <f t="shared" si="1"/>
        <v>47</v>
      </c>
      <c r="B48" s="11" t="s">
        <v>652</v>
      </c>
      <c r="C48" s="11" t="s">
        <v>653</v>
      </c>
      <c r="D48" s="11" t="s">
        <v>654</v>
      </c>
      <c r="E48" s="11" t="s">
        <v>456</v>
      </c>
      <c r="F48" s="11" t="s">
        <v>655</v>
      </c>
      <c r="G48" s="8"/>
      <c r="H48" s="8"/>
      <c r="I48" s="8"/>
      <c r="J48" s="8"/>
      <c r="K48" s="8"/>
      <c r="L48" s="8"/>
      <c r="M48" s="8"/>
      <c r="N48" s="8"/>
      <c r="O48" s="8"/>
      <c r="P48" s="8"/>
      <c r="Q48" s="8"/>
      <c r="R48" s="8"/>
      <c r="S48" s="8"/>
      <c r="T48" s="8"/>
      <c r="U48" s="8"/>
      <c r="V48" s="8"/>
      <c r="W48" s="8"/>
      <c r="X48" s="8"/>
      <c r="Y48" s="8"/>
      <c r="Z48" s="8"/>
    </row>
    <row r="49">
      <c r="A49" s="10">
        <f t="shared" si="1"/>
        <v>48</v>
      </c>
      <c r="B49" s="11" t="s">
        <v>656</v>
      </c>
      <c r="C49" s="11" t="s">
        <v>657</v>
      </c>
      <c r="D49" s="11" t="s">
        <v>658</v>
      </c>
      <c r="E49" s="11" t="s">
        <v>456</v>
      </c>
      <c r="F49" s="11" t="s">
        <v>659</v>
      </c>
      <c r="G49" s="8"/>
      <c r="H49" s="8"/>
      <c r="I49" s="8"/>
      <c r="J49" s="8"/>
      <c r="K49" s="8"/>
      <c r="L49" s="8"/>
      <c r="M49" s="8"/>
      <c r="N49" s="8"/>
      <c r="O49" s="8"/>
      <c r="P49" s="8"/>
      <c r="Q49" s="8"/>
      <c r="R49" s="8"/>
      <c r="S49" s="8"/>
      <c r="T49" s="8"/>
      <c r="U49" s="8"/>
      <c r="V49" s="8"/>
      <c r="W49" s="8"/>
      <c r="X49" s="8"/>
      <c r="Y49" s="8"/>
      <c r="Z49" s="8"/>
    </row>
    <row r="50">
      <c r="A50" s="10">
        <f t="shared" si="1"/>
        <v>49</v>
      </c>
      <c r="B50" s="11" t="s">
        <v>660</v>
      </c>
      <c r="C50" s="11" t="s">
        <v>661</v>
      </c>
      <c r="D50" s="11" t="s">
        <v>662</v>
      </c>
      <c r="E50" s="11" t="s">
        <v>456</v>
      </c>
      <c r="F50" s="11" t="s">
        <v>663</v>
      </c>
      <c r="G50" s="8"/>
      <c r="H50" s="8"/>
      <c r="I50" s="8"/>
      <c r="J50" s="8"/>
      <c r="K50" s="8"/>
      <c r="L50" s="8"/>
      <c r="M50" s="8"/>
      <c r="N50" s="8"/>
      <c r="O50" s="8"/>
      <c r="P50" s="8"/>
      <c r="Q50" s="8"/>
      <c r="R50" s="8"/>
      <c r="S50" s="8"/>
      <c r="T50" s="8"/>
      <c r="U50" s="8"/>
      <c r="V50" s="8"/>
      <c r="W50" s="8"/>
      <c r="X50" s="8"/>
      <c r="Y50" s="8"/>
      <c r="Z50" s="8"/>
    </row>
    <row r="51">
      <c r="A51" s="10">
        <f t="shared" si="1"/>
        <v>50</v>
      </c>
      <c r="B51" s="11" t="s">
        <v>664</v>
      </c>
      <c r="C51" s="11" t="s">
        <v>665</v>
      </c>
      <c r="D51" s="11" t="s">
        <v>666</v>
      </c>
      <c r="E51" s="11" t="s">
        <v>456</v>
      </c>
      <c r="F51" s="11" t="s">
        <v>667</v>
      </c>
      <c r="G51" s="8"/>
      <c r="H51" s="8"/>
      <c r="I51" s="8"/>
      <c r="J51" s="8"/>
      <c r="K51" s="8"/>
      <c r="L51" s="8"/>
      <c r="M51" s="8"/>
      <c r="N51" s="8"/>
      <c r="O51" s="8"/>
      <c r="P51" s="8"/>
      <c r="Q51" s="8"/>
      <c r="R51" s="8"/>
      <c r="S51" s="8"/>
      <c r="T51" s="8"/>
      <c r="U51" s="8"/>
      <c r="V51" s="8"/>
      <c r="W51" s="8"/>
      <c r="X51" s="8"/>
      <c r="Y51" s="8"/>
      <c r="Z51" s="8"/>
    </row>
    <row r="52">
      <c r="A52" s="10">
        <f t="shared" si="1"/>
        <v>51</v>
      </c>
      <c r="B52" s="11" t="s">
        <v>668</v>
      </c>
      <c r="C52" s="11" t="s">
        <v>669</v>
      </c>
      <c r="D52" s="11" t="s">
        <v>670</v>
      </c>
      <c r="E52" s="11" t="s">
        <v>456</v>
      </c>
      <c r="F52" s="11" t="s">
        <v>671</v>
      </c>
      <c r="G52" s="8"/>
      <c r="H52" s="8"/>
      <c r="I52" s="8"/>
      <c r="J52" s="8"/>
      <c r="K52" s="8"/>
      <c r="L52" s="8"/>
      <c r="M52" s="8"/>
      <c r="N52" s="8"/>
      <c r="O52" s="8"/>
      <c r="P52" s="8"/>
      <c r="Q52" s="8"/>
      <c r="R52" s="8"/>
      <c r="S52" s="8"/>
      <c r="T52" s="8"/>
      <c r="U52" s="8"/>
      <c r="V52" s="8"/>
      <c r="W52" s="8"/>
      <c r="X52" s="8"/>
      <c r="Y52" s="8"/>
      <c r="Z52" s="8"/>
    </row>
    <row r="53">
      <c r="A53" s="10">
        <f t="shared" si="1"/>
        <v>52</v>
      </c>
      <c r="B53" s="11" t="s">
        <v>672</v>
      </c>
      <c r="C53" s="11" t="s">
        <v>673</v>
      </c>
      <c r="D53" s="11" t="s">
        <v>674</v>
      </c>
      <c r="E53" s="11" t="s">
        <v>456</v>
      </c>
      <c r="F53" s="11" t="s">
        <v>675</v>
      </c>
      <c r="G53" s="8"/>
      <c r="H53" s="8"/>
      <c r="I53" s="8"/>
      <c r="J53" s="8"/>
      <c r="K53" s="8"/>
      <c r="L53" s="8"/>
      <c r="M53" s="8"/>
      <c r="N53" s="8"/>
      <c r="O53" s="8"/>
      <c r="P53" s="8"/>
      <c r="Q53" s="8"/>
      <c r="R53" s="8"/>
      <c r="S53" s="8"/>
      <c r="T53" s="8"/>
      <c r="U53" s="8"/>
      <c r="V53" s="8"/>
      <c r="W53" s="8"/>
      <c r="X53" s="8"/>
      <c r="Y53" s="8"/>
      <c r="Z53" s="8"/>
    </row>
    <row r="54">
      <c r="A54" s="10">
        <f t="shared" si="1"/>
        <v>53</v>
      </c>
      <c r="B54" s="11" t="s">
        <v>676</v>
      </c>
      <c r="C54" s="11" t="s">
        <v>677</v>
      </c>
      <c r="D54" s="11" t="s">
        <v>678</v>
      </c>
      <c r="E54" s="11" t="s">
        <v>456</v>
      </c>
      <c r="F54" s="11" t="s">
        <v>679</v>
      </c>
      <c r="G54" s="8"/>
      <c r="H54" s="8"/>
      <c r="I54" s="8"/>
      <c r="J54" s="8"/>
      <c r="K54" s="8"/>
      <c r="L54" s="8"/>
      <c r="M54" s="8"/>
      <c r="N54" s="8"/>
      <c r="O54" s="8"/>
      <c r="P54" s="8"/>
      <c r="Q54" s="8"/>
      <c r="R54" s="8"/>
      <c r="S54" s="8"/>
      <c r="T54" s="8"/>
      <c r="U54" s="8"/>
      <c r="V54" s="8"/>
      <c r="W54" s="8"/>
      <c r="X54" s="8"/>
      <c r="Y54" s="8"/>
      <c r="Z54" s="8"/>
    </row>
    <row r="55">
      <c r="A55" s="10">
        <f t="shared" si="1"/>
        <v>54</v>
      </c>
      <c r="B55" s="11" t="s">
        <v>680</v>
      </c>
      <c r="C55" s="11" t="s">
        <v>681</v>
      </c>
      <c r="D55" s="11" t="s">
        <v>682</v>
      </c>
      <c r="E55" s="11" t="s">
        <v>683</v>
      </c>
      <c r="F55" s="11" t="s">
        <v>684</v>
      </c>
      <c r="G55" s="8"/>
      <c r="H55" s="8"/>
      <c r="I55" s="8"/>
      <c r="J55" s="8"/>
      <c r="K55" s="8"/>
      <c r="L55" s="8"/>
      <c r="M55" s="8"/>
      <c r="N55" s="8"/>
      <c r="O55" s="8"/>
      <c r="P55" s="8"/>
      <c r="Q55" s="8"/>
      <c r="R55" s="8"/>
      <c r="S55" s="8"/>
      <c r="T55" s="8"/>
      <c r="U55" s="8"/>
      <c r="V55" s="8"/>
      <c r="W55" s="8"/>
      <c r="X55" s="8"/>
      <c r="Y55" s="8"/>
      <c r="Z55" s="8"/>
    </row>
  </sheetData>
  <hyperlinks>
    <hyperlink r:id="rId1" ref="E24"/>
    <hyperlink r:id="rId2" ref="E42"/>
  </hyperlinks>
  <drawing r:id="rId3"/>
  <tableParts count="1">
    <tablePart r:id="rId5"/>
  </tableParts>
</worksheet>
</file>